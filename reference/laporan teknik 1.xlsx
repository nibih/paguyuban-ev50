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esktop\"/>
    </mc:Choice>
  </mc:AlternateContent>
  <xr:revisionPtr revIDLastSave="0" documentId="13_ncr:1_{204B01A1-C2DC-4985-8191-6D8537E1D5F5}" xr6:coauthVersionLast="47" xr6:coauthVersionMax="47" xr10:uidLastSave="{00000000-0000-0000-0000-000000000000}"/>
  <bookViews>
    <workbookView xWindow="-110" yWindow="-110" windowWidth="19420" windowHeight="10300" xr2:uid="{5F950CDE-0E13-404D-AF11-8F21E36CAA8B}"/>
  </bookViews>
  <sheets>
    <sheet name="Sheet1" sheetId="1" r:id="rId1"/>
    <sheet name="LAPORAN TEKNIK 1 " sheetId="2" r:id="rId2"/>
    <sheet name="Sheet2" sheetId="4" r:id="rId3"/>
    <sheet name="DAFTAR NAMA PRAMUDI" sheetId="3" r:id="rId4"/>
  </sheets>
  <definedNames>
    <definedName name="_xlnm._FilterDatabase" localSheetId="1" hidden="1">'LAPORAN TEKNIK 1 '!$A$1:$W$134</definedName>
    <definedName name="WIJI">'LAPORAN TEKNIK 1 '!$G$134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4" i="2"/>
</calcChain>
</file>

<file path=xl/sharedStrings.xml><?xml version="1.0" encoding="utf-8"?>
<sst xmlns="http://schemas.openxmlformats.org/spreadsheetml/2006/main" count="354" uniqueCount="316">
  <si>
    <t>LAPORAN KEUANGAN</t>
  </si>
  <si>
    <t>KAS TAMBAHAN</t>
  </si>
  <si>
    <t>NO</t>
  </si>
  <si>
    <t>TANGGAL</t>
  </si>
  <si>
    <t>KETERANGAN TRANSAKSI</t>
  </si>
  <si>
    <t>PRAMUDI</t>
  </si>
  <si>
    <t>BODY</t>
  </si>
  <si>
    <t>UANG MASUK</t>
  </si>
  <si>
    <t>UANG KELUAR</t>
  </si>
  <si>
    <t>SALDO</t>
  </si>
  <si>
    <t>NAMA</t>
  </si>
  <si>
    <t>NIK</t>
  </si>
  <si>
    <t>NOMINAL</t>
  </si>
  <si>
    <t>KETERANGAN</t>
  </si>
  <si>
    <t>PEMBAYARAN</t>
  </si>
  <si>
    <t>SUKET</t>
  </si>
  <si>
    <t>JUMLAH PERBAIKAN</t>
  </si>
  <si>
    <t>JUMLAH PER BULAN</t>
  </si>
  <si>
    <t>JUMLAH PER ORANG DALAM SETAHUN</t>
  </si>
  <si>
    <t>JUNI</t>
  </si>
  <si>
    <t>AGUSTUS</t>
  </si>
  <si>
    <t>PERBAIKAN</t>
  </si>
  <si>
    <t>SPARE PART</t>
  </si>
  <si>
    <t>SEPTEMBER</t>
  </si>
  <si>
    <t>OKTOBER</t>
  </si>
  <si>
    <t>A Sutriadi</t>
  </si>
  <si>
    <t>Ade Muhibudin</t>
  </si>
  <si>
    <t>Ade Tisna</t>
  </si>
  <si>
    <t>Afrizal Firmansyah</t>
  </si>
  <si>
    <t>Agus Hariyanto</t>
  </si>
  <si>
    <t>Agus Sukmana</t>
  </si>
  <si>
    <t>Ahmad Gustomi</t>
  </si>
  <si>
    <t>Akbar</t>
  </si>
  <si>
    <t>Andhy Sururi</t>
  </si>
  <si>
    <t>Argent Dyego Saragi Napitu</t>
  </si>
  <si>
    <t>Bambang irawan</t>
  </si>
  <si>
    <t>Bayu Dyan Sukmana</t>
  </si>
  <si>
    <t>Beni S.W</t>
  </si>
  <si>
    <t>Budi Prasetyo</t>
  </si>
  <si>
    <t xml:space="preserve">Dede Erik </t>
  </si>
  <si>
    <t>Defi Andri</t>
  </si>
  <si>
    <t>Deni Permadi</t>
  </si>
  <si>
    <t>Dodo Wilmar Panjaitan</t>
  </si>
  <si>
    <t>Edy Susanto</t>
  </si>
  <si>
    <t>Efendi</t>
  </si>
  <si>
    <t>Fahrul Rozi</t>
  </si>
  <si>
    <t>Fajar Miftahudin</t>
  </si>
  <si>
    <t>Fernando Triokto Lumbanraja</t>
  </si>
  <si>
    <t>Gokman S</t>
  </si>
  <si>
    <t>Gumilar Aziz Cahyadi</t>
  </si>
  <si>
    <t>Hafid</t>
  </si>
  <si>
    <t>Hermawansyah</t>
  </si>
  <si>
    <t>Hilmi Sanusi</t>
  </si>
  <si>
    <t>Hulman Sihotang</t>
  </si>
  <si>
    <t>Ilham Ihda Maulana</t>
  </si>
  <si>
    <t>Imam Kharis</t>
  </si>
  <si>
    <t>Imam Kuspendi</t>
  </si>
  <si>
    <t>Imron Asmara</t>
  </si>
  <si>
    <t>Indra Pinayung Sitompul</t>
  </si>
  <si>
    <t>Ishak Oma</t>
  </si>
  <si>
    <t>Iwan Setiawan</t>
  </si>
  <si>
    <t>Iwan Wibowo</t>
  </si>
  <si>
    <t>Japahotin sihombing</t>
  </si>
  <si>
    <t>Joko Santoso</t>
  </si>
  <si>
    <t>Kiswanto</t>
  </si>
  <si>
    <t>Kusnadi</t>
  </si>
  <si>
    <t>Lilik Damayanti</t>
  </si>
  <si>
    <t>M. Iskak Munandar</t>
  </si>
  <si>
    <t>M. Muslimin</t>
  </si>
  <si>
    <t>M. Sapli</t>
  </si>
  <si>
    <t>Maman</t>
  </si>
  <si>
    <t>Manat Hasugian</t>
  </si>
  <si>
    <t>Mardongan H</t>
  </si>
  <si>
    <t>Mashuri</t>
  </si>
  <si>
    <t>Milyadi</t>
  </si>
  <si>
    <t>Moch Jenni</t>
  </si>
  <si>
    <t>Moh. Abdul Kholiq</t>
  </si>
  <si>
    <t xml:space="preserve">Muflih </t>
  </si>
  <si>
    <t>Muh Viky Ardian Priambodo</t>
  </si>
  <si>
    <t>Muhalik</t>
  </si>
  <si>
    <t>Muhamad Hasan</t>
  </si>
  <si>
    <t>Muhammad Faezal Aprianur</t>
  </si>
  <si>
    <t>Muslimin</t>
  </si>
  <si>
    <t>Nofrial</t>
  </si>
  <si>
    <t>Nur Rohim</t>
  </si>
  <si>
    <t>Pardamean Sihombing</t>
  </si>
  <si>
    <t>Parlindungan s</t>
  </si>
  <si>
    <t>Pipin Avrianto</t>
  </si>
  <si>
    <t>Posman H</t>
  </si>
  <si>
    <t>Putra Pranata</t>
  </si>
  <si>
    <t>Remondo H</t>
  </si>
  <si>
    <t>Rezaldy Putra</t>
  </si>
  <si>
    <t>Roni P</t>
  </si>
  <si>
    <t>Rudi</t>
  </si>
  <si>
    <t>Samsudin</t>
  </si>
  <si>
    <t>Samuji</t>
  </si>
  <si>
    <t>Sangidul Mansyur .A</t>
  </si>
  <si>
    <t>Sibi Aryono</t>
  </si>
  <si>
    <t>Sobur</t>
  </si>
  <si>
    <t>Sony Bin Sakam</t>
  </si>
  <si>
    <t>Sugianto</t>
  </si>
  <si>
    <t xml:space="preserve">Sugiman </t>
  </si>
  <si>
    <t>Suhendi</t>
  </si>
  <si>
    <t>Suherman</t>
  </si>
  <si>
    <t>Sujeni</t>
  </si>
  <si>
    <t>Sukarno</t>
  </si>
  <si>
    <t xml:space="preserve">Sumardi </t>
  </si>
  <si>
    <t>SUPARDI</t>
  </si>
  <si>
    <t>Tagor Harahap</t>
  </si>
  <si>
    <t>Taufik</t>
  </si>
  <si>
    <t>Thorikin</t>
  </si>
  <si>
    <t>Timbul Sinaga</t>
  </si>
  <si>
    <t>Tjahya Adrianto</t>
  </si>
  <si>
    <t>Toni Ichtiar</t>
  </si>
  <si>
    <t>Ude</t>
  </si>
  <si>
    <t>Usman Soleh</t>
  </si>
  <si>
    <t>Uus Rusdi</t>
  </si>
  <si>
    <t>Wiji Gunadi</t>
  </si>
  <si>
    <t>Winaryo</t>
  </si>
  <si>
    <t>Yohanes T</t>
  </si>
  <si>
    <t>Yosi Febrian S</t>
  </si>
  <si>
    <t>Yulianto</t>
  </si>
  <si>
    <t>Yusi M Komalasari</t>
  </si>
  <si>
    <t>Zeva Welian</t>
  </si>
  <si>
    <t>APRIL</t>
  </si>
  <si>
    <t>MEI</t>
  </si>
  <si>
    <t>JULI</t>
  </si>
  <si>
    <t>Firman Hari</t>
  </si>
  <si>
    <t>1/4 232 bemper kanan baret</t>
  </si>
  <si>
    <t>2/4 261 bemper kanan baret</t>
  </si>
  <si>
    <t>3/4 232 bemper kanan penyok</t>
  </si>
  <si>
    <t>4/4 240 body blkng gompal</t>
  </si>
  <si>
    <t>4/4 274 bemper blkng baret</t>
  </si>
  <si>
    <t>4/4 226 cover cctv hilang</t>
  </si>
  <si>
    <t>5/4 232 body blkng kiri npenyok</t>
  </si>
  <si>
    <t>6/4 263 bemper kanan penyok</t>
  </si>
  <si>
    <t>8/4 256 bemper kanan gompal</t>
  </si>
  <si>
    <t>8/4 262 bemper blkng penyok</t>
  </si>
  <si>
    <t>10/4 261 body blkng baret</t>
  </si>
  <si>
    <t>Bayu Warastopo</t>
  </si>
  <si>
    <t>10/4 252 bemper kanan penyok</t>
  </si>
  <si>
    <t>12/4 235 bemper kanan baret</t>
  </si>
  <si>
    <t>12/4 259 ban kiri blkng luar gompal</t>
  </si>
  <si>
    <t>12/4 232 ban kiri blkng sobek</t>
  </si>
  <si>
    <t>12/4 273 kaca spion pecah, dudukan cover spion patah</t>
  </si>
  <si>
    <t>6/4 246 bemper depan penyok nabrak motor                                                          13/4 246 bemper blkng penyok</t>
  </si>
  <si>
    <t>14/4 245 cover spion kanan baret</t>
  </si>
  <si>
    <t xml:space="preserve">14/4 247 body kanan atas penyok </t>
  </si>
  <si>
    <t xml:space="preserve">6/4 231 bodi blkng baret                         7/4 227 bemper depan penyok </t>
  </si>
  <si>
    <t>14/4 251 bodi blkng kiri baret</t>
  </si>
  <si>
    <t>15/4 239 bemper kiri penyok</t>
  </si>
  <si>
    <t>15/4 241 body depan kanan baret</t>
  </si>
  <si>
    <t xml:space="preserve">16/4 244 bemper kanan penyok </t>
  </si>
  <si>
    <t xml:space="preserve">1/4 233 bodi atas baret                         16/4 261 bemper kanan penyok </t>
  </si>
  <si>
    <t>16/4 246 body blkng baret</t>
  </si>
  <si>
    <t xml:space="preserve">1/4 232 bodi blakang baret                     5/5 259 bemper kanan penyok                       7/4 231 bodi blkng penyok                    17/4 248 bemper kanan penyok </t>
  </si>
  <si>
    <t xml:space="preserve">18/4 256 bemper kanan penyok </t>
  </si>
  <si>
    <t>19/4 253 bemper kanan baret</t>
  </si>
  <si>
    <t xml:space="preserve">19/4 259 bemper kanan penyok </t>
  </si>
  <si>
    <t>20/4 274 bemper kanan penyok, body blkng baret</t>
  </si>
  <si>
    <t>20/4 266 bemper kanan baret</t>
  </si>
  <si>
    <t>20/4 237 body blkng baret dalam</t>
  </si>
  <si>
    <t>3/4 231 bemper kanan baret                11/4 231 body samping baret panjang  19/4 249 body blkng atas penyok</t>
  </si>
  <si>
    <t>21/4 272 cover spion kiri pecah</t>
  </si>
  <si>
    <t>14/4 227 cover keong hilang                22/4 227 bemper blkng penyok</t>
  </si>
  <si>
    <t>22/4 233 bemper kanan baret</t>
  </si>
  <si>
    <t xml:space="preserve">2/4 236 bemper kanan baret, cover spion pecah                                                         20/4 236 bemper kanan baret              22/4 236 bemper kanan penyok </t>
  </si>
  <si>
    <t>22/4 266 bemper kanan penyok</t>
  </si>
  <si>
    <t>15/4 247 bemper kanan baret              23/4 247 cover spion kiri luka baret</t>
  </si>
  <si>
    <t>24/4 246 bemper kiri baret</t>
  </si>
  <si>
    <t>24/4 255 bemper depan penyok</t>
  </si>
  <si>
    <t>21/4 274 bemper kanan penyok            24/4 233 body blkng penyok baret</t>
  </si>
  <si>
    <t xml:space="preserve">13/4 254 cover spion kiri baret            25/4 225 bemper kanan baret </t>
  </si>
  <si>
    <t xml:space="preserve">26/4 263 bemper kiri penyok </t>
  </si>
  <si>
    <t>27/4 237 body knan gompal</t>
  </si>
  <si>
    <t>1/5 248 bemper kanan baret</t>
  </si>
  <si>
    <t>1/5 273 cover spion dudujan patah</t>
  </si>
  <si>
    <t>3/5 242 bemper kanan baret,body blkng retak</t>
  </si>
  <si>
    <t>3/5 257 cover cctv kanan pecah</t>
  </si>
  <si>
    <t>5/5 268 bemper kanan depan baret</t>
  </si>
  <si>
    <t xml:space="preserve">5/5 266 bemper kanan penyok </t>
  </si>
  <si>
    <t>5/5 237 body kanan atas penyok</t>
  </si>
  <si>
    <t>6/5 263 bemper kanan baret</t>
  </si>
  <si>
    <t>7/5 242 bemper kanan depan penyok</t>
  </si>
  <si>
    <t>7/5 267 cover cctv depan hilang</t>
  </si>
  <si>
    <t>3/5 261 bemper kanan baret  7/5 261 body blkng kiri baret</t>
  </si>
  <si>
    <t>8/5 261 cover spion keong kiri pecah</t>
  </si>
  <si>
    <t>10/5 269 bemper kanan baret</t>
  </si>
  <si>
    <t>10/5 270 body blkng kiri baret</t>
  </si>
  <si>
    <t>10/5 232 KACA display depan pecah</t>
  </si>
  <si>
    <t>10/5 258 bemper kanan baret</t>
  </si>
  <si>
    <t>10/5 233 bemper kanan baret</t>
  </si>
  <si>
    <t xml:space="preserve">5/5 230 bpdy depan kanan atas penyok, cover cctv kanan pecah                                       11/5 230 bemper kiri penyok </t>
  </si>
  <si>
    <t>11/5 229 bemper kanan baret</t>
  </si>
  <si>
    <t>11/5 231 bemper kanan baret</t>
  </si>
  <si>
    <t xml:space="preserve">4/5 225 cover cctv kiri hilang   7/5 225 bemper kanan baret  12/5 225 bemper kiri penyok </t>
  </si>
  <si>
    <t>12/5 239 bemper kanan penyok</t>
  </si>
  <si>
    <t>12/5 250 bemper kiri penyok</t>
  </si>
  <si>
    <t>12/5 253 cover cctv kanan pecah</t>
  </si>
  <si>
    <t xml:space="preserve">5/5 271 cover cctv tengah hilang                                       12/5 261 bemper kanan penyok </t>
  </si>
  <si>
    <t>1/5 249 bemper kanan penyok  13/5 274 bemper kiri baret</t>
  </si>
  <si>
    <t xml:space="preserve">6/5 261 cover spion kanan pecah                                        14/5 261 bemper kiri penyok </t>
  </si>
  <si>
    <t>14/5 250 bemper kanan baret</t>
  </si>
  <si>
    <t>14/5 258 bemper kanan baret</t>
  </si>
  <si>
    <t>14/5 229 bemper kanan baret</t>
  </si>
  <si>
    <t>14/5 bemper blkng baret</t>
  </si>
  <si>
    <t>15/5 225 bemper kanan baret</t>
  </si>
  <si>
    <t>15/5 247 bemper kanan baret</t>
  </si>
  <si>
    <t>16/5 226 kaca spion kanan pecah,cover spion pecah</t>
  </si>
  <si>
    <t>17/5 235 BODY BLKNG BARET</t>
  </si>
  <si>
    <t>17/5 273 bemper kanan penyok</t>
  </si>
  <si>
    <t>18/5 246 bemper kiri blkng penyok</t>
  </si>
  <si>
    <t>19/5 260 bemper kiri penyok</t>
  </si>
  <si>
    <t>15/5 239 body blkng kiri penyok                                      22/5 239 body blkng kiri baret</t>
  </si>
  <si>
    <t>22/5 250 body blkng kiri penyok</t>
  </si>
  <si>
    <t>3/5 230 kaca spion kanan pecah                                        22/5 267 body kanan depan penyok</t>
  </si>
  <si>
    <t xml:space="preserve">5/5 spion kecil kiri patah, dtabrak TJ                                 22/5 231 bemper kanan penyok </t>
  </si>
  <si>
    <t>23/5 247 bemper kanan baret</t>
  </si>
  <si>
    <t>10/5 230 bemper kanan baret  21/5 273 bemper kanan baret  23/5 237 bemper kanan baret</t>
  </si>
  <si>
    <t>23/5 235 bemper kanan baret</t>
  </si>
  <si>
    <t>18/5 229 bemper kanan baret   22/5 229 karet pintu sobek,fender kiri depan baret  24/5 229 bemper kanan penyok</t>
  </si>
  <si>
    <t>16/5 266 body blkng kanan baret                                        26/5 260 kaca samping kanan pecah,kaca pintu blkng pecah,katup emergency pintu blkng pecah</t>
  </si>
  <si>
    <t>3/5 256 ban blkng luar kiri sobek                                        26/5 246 bemper kanan baret</t>
  </si>
  <si>
    <t>10/5 273 body samping kiri baret                                         26/5 273 bemper kanan baret</t>
  </si>
  <si>
    <t>13/5 244 bemper kanan baret  19/5 226 bemper kanan baret  27/5 263 bemper kanan penyok</t>
  </si>
  <si>
    <t>31/5 243 bemper kanan baret</t>
  </si>
  <si>
    <t>31/5 227 body blkng baret</t>
  </si>
  <si>
    <t>12/5 240 body blkng kiri prnyok                                       31/5 240 body blkng kanan penyok</t>
  </si>
  <si>
    <t>YA</t>
  </si>
  <si>
    <t>6/4 228 bemper kanan baret                   7/4 261 bodi kanan atas penyok</t>
  </si>
  <si>
    <t>1/6 227 Bemper kanan penyok</t>
  </si>
  <si>
    <t>3/6 266 cover cctv pecah hilang</t>
  </si>
  <si>
    <t>3/6 262 body blkng kiri baret</t>
  </si>
  <si>
    <t>3/6 272 body blkng baret</t>
  </si>
  <si>
    <t>3/6 259 body blkng kiri baret</t>
  </si>
  <si>
    <t xml:space="preserve">5/06 232 body kiri penyok dlem stiker rusak 06/06 250 body kiri belakang atas </t>
  </si>
  <si>
    <t xml:space="preserve">1/06 226 body bawah kanan penyok </t>
  </si>
  <si>
    <t xml:space="preserve">03/06/244bemper bawah kanan </t>
  </si>
  <si>
    <t xml:space="preserve">6/6 254 bember kiri dpan penok </t>
  </si>
  <si>
    <t xml:space="preserve">6/6 243 Bemper kanan bawah </t>
  </si>
  <si>
    <t xml:space="preserve">06/06 244 coper spion hilang </t>
  </si>
  <si>
    <t xml:space="preserve">06/06 247 bemper depan kanan bawah </t>
  </si>
  <si>
    <t xml:space="preserve">3/6 250 bemper kiri penyok 07/06/2026 BEMPER BLKNG </t>
  </si>
  <si>
    <t>5/05 244 leet body kanan tengah  1/06/2026 LECET BODY BLAKNG</t>
  </si>
  <si>
    <t>06/06/2026 BODY BLAKANG</t>
  </si>
  <si>
    <t xml:space="preserve">07/06/2026 B273 BEMPER KANAN PNYOK </t>
  </si>
  <si>
    <t xml:space="preserve">05/06/2026 B262 BODY ATAS PENYOK </t>
  </si>
  <si>
    <t xml:space="preserve">03/06/2026 B 272 BODY BLAKANG PENYOK </t>
  </si>
  <si>
    <t xml:space="preserve">04/06/2026 B 271 BARET BODY BELAKANG </t>
  </si>
  <si>
    <t xml:space="preserve">07/06/2026 BODY DEPAN RUSAK PARAH </t>
  </si>
  <si>
    <t>25/04/2026 body lecet</t>
  </si>
  <si>
    <t>26/04/2026body belakang baret</t>
  </si>
  <si>
    <t xml:space="preserve">22/4 272 bemper blkng penyok </t>
  </si>
  <si>
    <t xml:space="preserve">26/04/2026body belang kanan penyok  26/04/2026 body blkang pnyok </t>
  </si>
  <si>
    <t xml:space="preserve"> </t>
  </si>
  <si>
    <t>21/04/2026bemper belang kiri baret</t>
  </si>
  <si>
    <t>16/04/270 cover cctv kanan hilang</t>
  </si>
  <si>
    <t>19/04/235 body belakang penyok</t>
  </si>
  <si>
    <t>21/04 /257 cover cctv hilang/body belakang baret</t>
  </si>
  <si>
    <t>27/04/249 body baret</t>
  </si>
  <si>
    <t>13/04/260 bemper kiri depan</t>
  </si>
  <si>
    <t>15/05/239 BODY BELAKANG BARET</t>
  </si>
  <si>
    <t xml:space="preserve">11/05/2026 bemper dpn penyok </t>
  </si>
  <si>
    <t xml:space="preserve">21/5 258 bemper kanan baret 05/05/2026 tutup ac bolong </t>
  </si>
  <si>
    <t>04/04/2026 spion lepas kiri</t>
  </si>
  <si>
    <t xml:space="preserve">21/5 235 cover spion kanan pecah 04/05/2026 b 232 body dpn bret </t>
  </si>
  <si>
    <t>04/5 233 bodi kiri blkng penyok</t>
  </si>
  <si>
    <t>18/5 258 bemper kanan baret 17/05/2026 bemper kanan baawah</t>
  </si>
  <si>
    <t xml:space="preserve">08/06/2026  250-250 cover cctv rusak </t>
  </si>
  <si>
    <t xml:space="preserve">NAMA ANGGOTA </t>
  </si>
  <si>
    <t xml:space="preserve">11/05/2026 272 fender dpn body l bret </t>
  </si>
  <si>
    <t xml:space="preserve">07/06/2026 COVER CCTV HILANG 09/06/2026 b 250-251 vover ccvt r ilang </t>
  </si>
  <si>
    <t xml:space="preserve">10/06/2026 laka </t>
  </si>
  <si>
    <t xml:space="preserve">10/06/2026 b 250-225 bod baret dpn kanan </t>
  </si>
  <si>
    <t>13/06/2026 spion pecah keong spion ilang 250-226</t>
  </si>
  <si>
    <t>MAMAN</t>
  </si>
  <si>
    <t>12/06/2026 BEMPER BAWAH PENYOK 250-250</t>
  </si>
  <si>
    <t>3/6 271 body blkng kiri baret  12/06/2026 BEMBER BWG BD 259</t>
  </si>
  <si>
    <t xml:space="preserve">BAN BELAKANG SOBEK </t>
  </si>
  <si>
    <t>T</t>
  </si>
  <si>
    <t xml:space="preserve">12 juni 2026 cover spion kiri pecah </t>
  </si>
  <si>
    <t>11 juni 2026 body samping dpan sebelah kiri 249</t>
  </si>
  <si>
    <t>09 jn 2026 bemper kanan lecet body 258</t>
  </si>
  <si>
    <t xml:space="preserve">VELK Penyok di repair  9 juni 2026 bemper bawah kanan penok 230  </t>
  </si>
  <si>
    <t xml:space="preserve"> 15/06/2026 COVER SPION BOLONG .245</t>
  </si>
  <si>
    <t>15/06/2026 bodi samping kiri baret 228</t>
  </si>
  <si>
    <t>13/06/2026 bodi samping depan baret 271</t>
  </si>
  <si>
    <t>12/06/2026bemper sebelah kiri penyok 264</t>
  </si>
  <si>
    <t>13/06/2026bemper penyok 240</t>
  </si>
  <si>
    <t xml:space="preserve">13/06/2026 bemper belakang kanan penyok 245 </t>
  </si>
  <si>
    <t>Abdul Rochman</t>
  </si>
  <si>
    <t>Aguswandi</t>
  </si>
  <si>
    <t>Anang Maulana Awaludin</t>
  </si>
  <si>
    <t>Arqom komari</t>
  </si>
  <si>
    <t>Dodi Cahyadi</t>
  </si>
  <si>
    <t>Fatah Fathuroji</t>
  </si>
  <si>
    <t>Gilang Rengga s</t>
  </si>
  <si>
    <t>Jonaemson Gultom</t>
  </si>
  <si>
    <t>Lomo Hasudungan</t>
  </si>
  <si>
    <t>lukman khakim</t>
  </si>
  <si>
    <t>Nelson Erick Pesurnay</t>
  </si>
  <si>
    <t>Novan Rahmat Fajri</t>
  </si>
  <si>
    <t>Ralim</t>
  </si>
  <si>
    <t>Rhiyan Yulian Fadhilah</t>
  </si>
  <si>
    <t>Rudolf herbert p siahaan</t>
  </si>
  <si>
    <t>Yopik Pratama Putra</t>
  </si>
  <si>
    <t>GUGUN JUANDA</t>
  </si>
  <si>
    <t>MARISA</t>
  </si>
  <si>
    <t>WAHYU NUGROHO</t>
  </si>
  <si>
    <t>ASEP SAEPUL UYUN</t>
  </si>
  <si>
    <t>NENENG SRI RAHAYU</t>
  </si>
  <si>
    <t>ROSARI WULAN PRASASTI</t>
  </si>
  <si>
    <t xml:space="preserve">APIPUDIN </t>
  </si>
  <si>
    <t xml:space="preserve">HERMAN </t>
  </si>
  <si>
    <t xml:space="preserve">WAHYUDI </t>
  </si>
  <si>
    <t xml:space="preserve">JUMLAH PERBAIKAN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</si>
</sst>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&quot; &quot;mmmm&quot; &quot;yyyy"/>
    <numFmt numFmtId="165" formatCode="[$Rp-421]#,##0"/>
    <numFmt numFmtId="166" formatCode="d\ mmmm\ yyyy"/>
    <numFmt numFmtId="167" formatCode="mmmm\ yyyy"/>
    <numFmt numFmtId="168" formatCode="d\ mmmm"/>
    <numFmt numFmtId="169" formatCode="d\ mmmm\ \,yyyy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CCCCCC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8">
    <xf numFmtId="0" fontId="0" fillId="0" borderId="0" xfId="0"/>
    <xf numFmtId="0" fontId="1" fillId="0" borderId="0" xfId="1"/>
    <xf numFmtId="0" fontId="2" fillId="0" borderId="0" xfId="1" applyFont="1"/>
    <xf numFmtId="164" fontId="3" fillId="0" borderId="0" xfId="1" applyNumberFormat="1" applyFont="1"/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0" xfId="1" applyFont="1"/>
    <xf numFmtId="0" fontId="2" fillId="0" borderId="0" xfId="1" applyFont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65" fontId="3" fillId="0" borderId="2" xfId="1" applyNumberFormat="1" applyFont="1" applyBorder="1" applyAlignment="1">
      <alignment horizontal="center" vertical="center"/>
    </xf>
    <xf numFmtId="0" fontId="3" fillId="0" borderId="1" xfId="1" applyFont="1" applyBorder="1"/>
    <xf numFmtId="166" fontId="3" fillId="0" borderId="1" xfId="1" applyNumberFormat="1" applyFont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0" fontId="3" fillId="5" borderId="1" xfId="1" applyFont="1" applyFill="1" applyBorder="1"/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8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165" fontId="3" fillId="5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8" fillId="0" borderId="1" xfId="1" applyFont="1" applyBorder="1"/>
    <xf numFmtId="165" fontId="3" fillId="5" borderId="1" xfId="1" applyNumberFormat="1" applyFont="1" applyFill="1" applyBorder="1" applyAlignment="1">
      <alignment horizontal="center"/>
    </xf>
    <xf numFmtId="165" fontId="4" fillId="5" borderId="1" xfId="1" applyNumberFormat="1" applyFont="1" applyFill="1" applyBorder="1" applyAlignment="1">
      <alignment horizontal="center"/>
    </xf>
    <xf numFmtId="169" fontId="3" fillId="0" borderId="1" xfId="1" applyNumberFormat="1" applyFont="1" applyBorder="1"/>
    <xf numFmtId="0" fontId="3" fillId="6" borderId="1" xfId="1" applyFont="1" applyFill="1" applyBorder="1" applyAlignment="1">
      <alignment horizontal="center"/>
    </xf>
    <xf numFmtId="0" fontId="3" fillId="6" borderId="1" xfId="1" applyFont="1" applyFill="1" applyBorder="1"/>
    <xf numFmtId="165" fontId="3" fillId="6" borderId="1" xfId="1" applyNumberFormat="1" applyFont="1" applyFill="1" applyBorder="1" applyAlignment="1">
      <alignment horizontal="center"/>
    </xf>
    <xf numFmtId="169" fontId="3" fillId="6" borderId="1" xfId="1" applyNumberFormat="1" applyFont="1" applyFill="1" applyBorder="1"/>
    <xf numFmtId="0" fontId="9" fillId="0" borderId="1" xfId="1" applyFont="1" applyBorder="1" applyAlignment="1">
      <alignment horizontal="center"/>
    </xf>
    <xf numFmtId="164" fontId="9" fillId="0" borderId="5" xfId="1" applyNumberFormat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165" fontId="9" fillId="0" borderId="5" xfId="1" applyNumberFormat="1" applyFont="1" applyBorder="1" applyAlignment="1">
      <alignment horizontal="center"/>
    </xf>
    <xf numFmtId="165" fontId="10" fillId="0" borderId="5" xfId="1" applyNumberFormat="1" applyFont="1" applyBorder="1" applyAlignment="1">
      <alignment horizontal="center"/>
    </xf>
    <xf numFmtId="0" fontId="9" fillId="0" borderId="0" xfId="1" applyFont="1"/>
    <xf numFmtId="0" fontId="9" fillId="0" borderId="1" xfId="1" applyFont="1" applyBorder="1"/>
    <xf numFmtId="164" fontId="3" fillId="0" borderId="2" xfId="1" applyNumberFormat="1" applyFont="1" applyBorder="1" applyAlignment="1">
      <alignment horizontal="center"/>
    </xf>
    <xf numFmtId="165" fontId="3" fillId="0" borderId="2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165" fontId="10" fillId="6" borderId="5" xfId="1" applyNumberFormat="1" applyFont="1" applyFill="1" applyBorder="1" applyAlignment="1">
      <alignment horizontal="center"/>
    </xf>
    <xf numFmtId="165" fontId="3" fillId="5" borderId="6" xfId="1" applyNumberFormat="1" applyFont="1" applyFill="1" applyBorder="1" applyAlignment="1">
      <alignment horizontal="center"/>
    </xf>
    <xf numFmtId="165" fontId="10" fillId="5" borderId="5" xfId="1" applyNumberFormat="1" applyFont="1" applyFill="1" applyBorder="1" applyAlignment="1">
      <alignment horizontal="center"/>
    </xf>
    <xf numFmtId="0" fontId="3" fillId="0" borderId="3" xfId="1" applyFont="1" applyBorder="1"/>
    <xf numFmtId="0" fontId="3" fillId="0" borderId="2" xfId="1" applyFont="1" applyBorder="1"/>
    <xf numFmtId="0" fontId="3" fillId="0" borderId="3" xfId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0" fontId="4" fillId="0" borderId="1" xfId="1" applyFont="1" applyBorder="1"/>
    <xf numFmtId="14" fontId="4" fillId="0" borderId="1" xfId="1" applyNumberFormat="1" applyFont="1" applyBorder="1"/>
    <xf numFmtId="14" fontId="3" fillId="0" borderId="1" xfId="1" applyNumberFormat="1" applyFont="1" applyBorder="1"/>
    <xf numFmtId="0" fontId="3" fillId="15" borderId="1" xfId="1" applyFont="1" applyFill="1" applyBorder="1" applyAlignment="1">
      <alignment horizontal="center"/>
    </xf>
    <xf numFmtId="164" fontId="3" fillId="15" borderId="1" xfId="1" applyNumberFormat="1" applyFont="1" applyFill="1" applyBorder="1" applyAlignment="1">
      <alignment horizontal="center" vertical="center"/>
    </xf>
    <xf numFmtId="0" fontId="3" fillId="15" borderId="1" xfId="1" applyFont="1" applyFill="1" applyBorder="1" applyAlignment="1">
      <alignment horizontal="center" vertical="center"/>
    </xf>
    <xf numFmtId="165" fontId="3" fillId="15" borderId="1" xfId="1" applyNumberFormat="1" applyFont="1" applyFill="1" applyBorder="1" applyAlignment="1">
      <alignment horizontal="center" vertical="center"/>
    </xf>
    <xf numFmtId="165" fontId="10" fillId="15" borderId="5" xfId="1" applyNumberFormat="1" applyFont="1" applyFill="1" applyBorder="1" applyAlignment="1">
      <alignment horizontal="center"/>
    </xf>
    <xf numFmtId="0" fontId="3" fillId="16" borderId="1" xfId="1" applyFont="1" applyFill="1" applyBorder="1" applyAlignment="1">
      <alignment horizontal="center"/>
    </xf>
    <xf numFmtId="0" fontId="3" fillId="16" borderId="1" xfId="1" applyFont="1" applyFill="1" applyBorder="1"/>
    <xf numFmtId="165" fontId="3" fillId="16" borderId="1" xfId="1" applyNumberFormat="1" applyFont="1" applyFill="1" applyBorder="1" applyAlignment="1">
      <alignment horizontal="center"/>
    </xf>
    <xf numFmtId="14" fontId="3" fillId="17" borderId="1" xfId="1" applyNumberFormat="1" applyFont="1" applyFill="1" applyBorder="1"/>
    <xf numFmtId="0" fontId="3" fillId="17" borderId="1" xfId="1" applyFont="1" applyFill="1" applyBorder="1" applyAlignment="1">
      <alignment horizontal="center"/>
    </xf>
    <xf numFmtId="0" fontId="3" fillId="17" borderId="1" xfId="1" applyFont="1" applyFill="1" applyBorder="1"/>
    <xf numFmtId="165" fontId="3" fillId="17" borderId="1" xfId="1" applyNumberFormat="1" applyFont="1" applyFill="1" applyBorder="1" applyAlignment="1">
      <alignment horizontal="center"/>
    </xf>
    <xf numFmtId="0" fontId="3" fillId="15" borderId="1" xfId="1" applyFont="1" applyFill="1" applyBorder="1"/>
    <xf numFmtId="0" fontId="4" fillId="8" borderId="7" xfId="1" applyFont="1" applyFill="1" applyBorder="1" applyAlignment="1">
      <alignment horizontal="center" wrapText="1"/>
    </xf>
    <xf numFmtId="0" fontId="4" fillId="8" borderId="2" xfId="1" applyFont="1" applyFill="1" applyBorder="1" applyAlignment="1">
      <alignment horizontal="center" wrapText="1"/>
    </xf>
    <xf numFmtId="0" fontId="4" fillId="9" borderId="8" xfId="1" applyFont="1" applyFill="1" applyBorder="1" applyAlignment="1">
      <alignment horizontal="center" wrapText="1"/>
    </xf>
    <xf numFmtId="0" fontId="4" fillId="10" borderId="3" xfId="1" applyFont="1" applyFill="1" applyBorder="1" applyAlignment="1">
      <alignment horizontal="center" wrapText="1"/>
    </xf>
    <xf numFmtId="0" fontId="4" fillId="7" borderId="3" xfId="1" applyFont="1" applyFill="1" applyBorder="1" applyAlignment="1">
      <alignment horizontal="center" wrapText="1"/>
    </xf>
    <xf numFmtId="0" fontId="4" fillId="2" borderId="3" xfId="1" applyFont="1" applyFill="1" applyBorder="1" applyAlignment="1">
      <alignment horizontal="center" wrapText="1"/>
    </xf>
    <xf numFmtId="0" fontId="4" fillId="11" borderId="3" xfId="1" applyFont="1" applyFill="1" applyBorder="1" applyAlignment="1">
      <alignment horizontal="center" wrapText="1"/>
    </xf>
    <xf numFmtId="0" fontId="4" fillId="12" borderId="3" xfId="1" applyFont="1" applyFill="1" applyBorder="1" applyAlignment="1">
      <alignment horizontal="center" wrapText="1"/>
    </xf>
    <xf numFmtId="0" fontId="4" fillId="13" borderId="3" xfId="1" applyFont="1" applyFill="1" applyBorder="1" applyAlignment="1">
      <alignment horizontal="center" wrapText="1"/>
    </xf>
    <xf numFmtId="0" fontId="11" fillId="6" borderId="2" xfId="1" applyFont="1" applyFill="1" applyBorder="1" applyAlignment="1">
      <alignment horizontal="center" wrapText="1"/>
    </xf>
    <xf numFmtId="0" fontId="4" fillId="8" borderId="9" xfId="1" applyFont="1" applyFill="1" applyBorder="1" applyAlignment="1">
      <alignment horizontal="center" vertical="center" wrapText="1"/>
    </xf>
    <xf numFmtId="0" fontId="12" fillId="9" borderId="1" xfId="1" applyFont="1" applyFill="1" applyBorder="1" applyAlignment="1">
      <alignment horizontal="center" vertical="center" wrapText="1"/>
    </xf>
    <xf numFmtId="0" fontId="12" fillId="6" borderId="6" xfId="1" applyFont="1" applyFill="1" applyBorder="1" applyAlignment="1">
      <alignment horizontal="center" vertical="center" wrapText="1"/>
    </xf>
    <xf numFmtId="0" fontId="4" fillId="8" borderId="10" xfId="1" applyFont="1" applyFill="1" applyBorder="1" applyAlignment="1">
      <alignment horizontal="center" vertical="center" wrapText="1"/>
    </xf>
    <xf numFmtId="0" fontId="12" fillId="10" borderId="5" xfId="1" applyFont="1" applyFill="1" applyBorder="1" applyAlignment="1">
      <alignment horizontal="center" vertical="center" wrapText="1"/>
    </xf>
    <xf numFmtId="0" fontId="12" fillId="10" borderId="1" xfId="1" applyFont="1" applyFill="1" applyBorder="1" applyAlignment="1">
      <alignment horizontal="center" vertical="center" wrapText="1"/>
    </xf>
    <xf numFmtId="0" fontId="12" fillId="10" borderId="3" xfId="1" applyFont="1" applyFill="1" applyBorder="1" applyAlignment="1">
      <alignment horizontal="center" vertical="center" wrapText="1"/>
    </xf>
    <xf numFmtId="0" fontId="12" fillId="7" borderId="5" xfId="1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center" vertical="center" wrapText="1"/>
    </xf>
    <xf numFmtId="0" fontId="12" fillId="7" borderId="3" xfId="1" applyFont="1" applyFill="1" applyBorder="1" applyAlignment="1">
      <alignment horizontal="center" vertical="center" wrapText="1"/>
    </xf>
    <xf numFmtId="0" fontId="12" fillId="2" borderId="5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12" fillId="11" borderId="5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horizontal="center" vertical="center" wrapText="1"/>
    </xf>
    <xf numFmtId="0" fontId="12" fillId="11" borderId="3" xfId="1" applyFont="1" applyFill="1" applyBorder="1" applyAlignment="1">
      <alignment horizontal="center" vertical="center" wrapText="1"/>
    </xf>
    <xf numFmtId="0" fontId="12" fillId="12" borderId="5" xfId="1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horizontal="center" vertical="center" wrapText="1"/>
    </xf>
    <xf numFmtId="0" fontId="12" fillId="12" borderId="3" xfId="1" applyFont="1" applyFill="1" applyBorder="1" applyAlignment="1">
      <alignment horizontal="center" vertical="center" wrapText="1"/>
    </xf>
    <xf numFmtId="0" fontId="12" fillId="13" borderId="5" xfId="1" applyFont="1" applyFill="1" applyBorder="1" applyAlignment="1">
      <alignment horizontal="center" vertical="center" wrapText="1"/>
    </xf>
    <xf numFmtId="0" fontId="12" fillId="13" borderId="1" xfId="1" applyFont="1" applyFill="1" applyBorder="1" applyAlignment="1">
      <alignment horizontal="center" vertical="center" wrapText="1"/>
    </xf>
    <xf numFmtId="0" fontId="12" fillId="13" borderId="3" xfId="1" applyFont="1" applyFill="1" applyBorder="1" applyAlignment="1">
      <alignment horizontal="center" vertical="center" wrapText="1"/>
    </xf>
    <xf numFmtId="0" fontId="12" fillId="6" borderId="11" xfId="1" applyFont="1" applyFill="1" applyBorder="1" applyAlignment="1">
      <alignment horizontal="center" vertical="center" wrapText="1"/>
    </xf>
    <xf numFmtId="0" fontId="8" fillId="17" borderId="12" xfId="1" applyFont="1" applyFill="1" applyBorder="1" applyAlignment="1">
      <alignment vertical="top" wrapText="1"/>
    </xf>
    <xf numFmtId="0" fontId="8" fillId="16" borderId="12" xfId="1" applyFont="1" applyFill="1" applyBorder="1" applyAlignment="1">
      <alignment vertical="top" wrapText="1"/>
    </xf>
    <xf numFmtId="0" fontId="8" fillId="19" borderId="12" xfId="1" applyFont="1" applyFill="1" applyBorder="1" applyAlignment="1">
      <alignment vertical="top" wrapText="1"/>
    </xf>
    <xf numFmtId="0" fontId="8" fillId="15" borderId="12" xfId="1" applyFont="1" applyFill="1" applyBorder="1" applyAlignment="1">
      <alignment vertical="top" wrapText="1"/>
    </xf>
    <xf numFmtId="0" fontId="8" fillId="17" borderId="12" xfId="1" applyFont="1" applyFill="1" applyBorder="1" applyAlignment="1">
      <alignment wrapText="1"/>
    </xf>
    <xf numFmtId="0" fontId="13" fillId="21" borderId="12" xfId="1" applyFont="1" applyFill="1" applyBorder="1" applyAlignment="1">
      <alignment vertical="top" wrapText="1"/>
    </xf>
    <xf numFmtId="0" fontId="4" fillId="21" borderId="1" xfId="1" applyFont="1" applyFill="1" applyBorder="1" applyAlignment="1">
      <alignment horizontal="left" vertical="center" wrapText="1"/>
    </xf>
    <xf numFmtId="0" fontId="14" fillId="0" borderId="11" xfId="1" applyFont="1" applyBorder="1" applyAlignment="1">
      <alignment horizontal="center" vertical="center" wrapText="1"/>
    </xf>
    <xf numFmtId="0" fontId="15" fillId="0" borderId="1" xfId="1" applyFont="1" applyBorder="1" applyAlignment="1">
      <alignment wrapText="1"/>
    </xf>
    <xf numFmtId="0" fontId="15" fillId="0" borderId="1" xfId="1" applyFont="1" applyBorder="1" applyAlignment="1">
      <alignment horizontal="center" wrapText="1"/>
    </xf>
    <xf numFmtId="0" fontId="3" fillId="6" borderId="1" xfId="1" applyFont="1" applyFill="1" applyBorder="1" applyAlignment="1">
      <alignment horizontal="center" vertical="center" wrapText="1"/>
    </xf>
    <xf numFmtId="0" fontId="4" fillId="14" borderId="1" xfId="1" applyFont="1" applyFill="1" applyBorder="1" applyAlignment="1">
      <alignment horizontal="center" vertical="center" wrapText="1"/>
    </xf>
    <xf numFmtId="0" fontId="14" fillId="17" borderId="1" xfId="1" applyFont="1" applyFill="1" applyBorder="1" applyAlignment="1">
      <alignment horizontal="center" vertical="center" wrapText="1"/>
    </xf>
    <xf numFmtId="1" fontId="15" fillId="17" borderId="1" xfId="1" applyNumberFormat="1" applyFont="1" applyFill="1" applyBorder="1" applyAlignment="1">
      <alignment horizontal="center" vertical="top" wrapText="1"/>
    </xf>
    <xf numFmtId="0" fontId="3" fillId="18" borderId="1" xfId="1" applyFont="1" applyFill="1" applyBorder="1" applyAlignment="1">
      <alignment horizontal="center" vertical="center" wrapText="1"/>
    </xf>
    <xf numFmtId="0" fontId="3" fillId="19" borderId="1" xfId="1" applyFont="1" applyFill="1" applyBorder="1" applyAlignment="1">
      <alignment horizontal="center" vertical="center" wrapText="1"/>
    </xf>
    <xf numFmtId="0" fontId="3" fillId="17" borderId="1" xfId="1" applyFont="1" applyFill="1" applyBorder="1" applyAlignment="1">
      <alignment horizontal="center" vertical="center" wrapText="1"/>
    </xf>
    <xf numFmtId="0" fontId="4" fillId="20" borderId="1" xfId="1" applyFont="1" applyFill="1" applyBorder="1" applyAlignment="1">
      <alignment horizontal="center" vertical="center" wrapText="1"/>
    </xf>
    <xf numFmtId="0" fontId="14" fillId="19" borderId="11" xfId="1" applyFont="1" applyFill="1" applyBorder="1" applyAlignment="1">
      <alignment horizontal="center" vertical="center" wrapText="1"/>
    </xf>
    <xf numFmtId="1" fontId="15" fillId="19" borderId="1" xfId="1" applyNumberFormat="1" applyFont="1" applyFill="1" applyBorder="1" applyAlignment="1">
      <alignment horizontal="center" vertical="top" wrapText="1"/>
    </xf>
    <xf numFmtId="0" fontId="14" fillId="19" borderId="1" xfId="1" applyFont="1" applyFill="1" applyBorder="1" applyAlignment="1">
      <alignment horizontal="center" vertical="center" wrapText="1"/>
    </xf>
    <xf numFmtId="1" fontId="15" fillId="19" borderId="1" xfId="1" applyNumberFormat="1" applyFont="1" applyFill="1" applyBorder="1" applyAlignment="1">
      <alignment horizontal="center" wrapText="1"/>
    </xf>
    <xf numFmtId="0" fontId="15" fillId="19" borderId="1" xfId="1" applyFont="1" applyFill="1" applyBorder="1" applyAlignment="1">
      <alignment horizontal="center" wrapText="1"/>
    </xf>
    <xf numFmtId="0" fontId="14" fillId="15" borderId="11" xfId="1" applyFont="1" applyFill="1" applyBorder="1" applyAlignment="1">
      <alignment horizontal="center" vertical="center" wrapText="1"/>
    </xf>
    <xf numFmtId="1" fontId="15" fillId="15" borderId="1" xfId="1" applyNumberFormat="1" applyFont="1" applyFill="1" applyBorder="1" applyAlignment="1">
      <alignment horizontal="center" vertical="top" wrapText="1"/>
    </xf>
    <xf numFmtId="0" fontId="14" fillId="16" borderId="1" xfId="1" applyFont="1" applyFill="1" applyBorder="1" applyAlignment="1">
      <alignment horizontal="center" vertical="center" wrapText="1"/>
    </xf>
    <xf numFmtId="0" fontId="15" fillId="16" borderId="1" xfId="1" applyFont="1" applyFill="1" applyBorder="1" applyAlignment="1">
      <alignment horizontal="center" wrapText="1"/>
    </xf>
    <xf numFmtId="0" fontId="14" fillId="17" borderId="11" xfId="1" applyFont="1" applyFill="1" applyBorder="1" applyAlignment="1">
      <alignment horizontal="center" vertical="center" wrapText="1"/>
    </xf>
    <xf numFmtId="0" fontId="15" fillId="17" borderId="1" xfId="1" applyFont="1" applyFill="1" applyBorder="1" applyAlignment="1">
      <alignment horizontal="center" wrapText="1"/>
    </xf>
    <xf numFmtId="0" fontId="14" fillId="16" borderId="11" xfId="1" applyFont="1" applyFill="1" applyBorder="1" applyAlignment="1">
      <alignment horizontal="center" vertical="center" wrapText="1"/>
    </xf>
    <xf numFmtId="1" fontId="15" fillId="16" borderId="1" xfId="1" applyNumberFormat="1" applyFont="1" applyFill="1" applyBorder="1" applyAlignment="1">
      <alignment horizontal="center" vertical="top" wrapText="1"/>
    </xf>
    <xf numFmtId="0" fontId="14" fillId="15" borderId="1" xfId="1" applyFont="1" applyFill="1" applyBorder="1" applyAlignment="1">
      <alignment horizontal="center" vertical="center" wrapText="1"/>
    </xf>
    <xf numFmtId="0" fontId="15" fillId="15" borderId="1" xfId="1" applyFont="1" applyFill="1" applyBorder="1" applyAlignment="1">
      <alignment horizontal="center" wrapText="1"/>
    </xf>
    <xf numFmtId="1" fontId="15" fillId="16" borderId="1" xfId="1" applyNumberFormat="1" applyFont="1" applyFill="1" applyBorder="1" applyAlignment="1">
      <alignment horizontal="center" wrapText="1"/>
    </xf>
    <xf numFmtId="1" fontId="15" fillId="17" borderId="11" xfId="1" applyNumberFormat="1" applyFont="1" applyFill="1" applyBorder="1" applyAlignment="1">
      <alignment horizontal="center" vertical="top" wrapText="1"/>
    </xf>
    <xf numFmtId="1" fontId="15" fillId="19" borderId="11" xfId="1" applyNumberFormat="1" applyFont="1" applyFill="1" applyBorder="1" applyAlignment="1">
      <alignment horizontal="center" wrapText="1"/>
    </xf>
    <xf numFmtId="0" fontId="15" fillId="19" borderId="11" xfId="1" applyFont="1" applyFill="1" applyBorder="1" applyAlignment="1">
      <alignment horizontal="center" wrapText="1"/>
    </xf>
    <xf numFmtId="1" fontId="15" fillId="16" borderId="11" xfId="1" applyNumberFormat="1" applyFont="1" applyFill="1" applyBorder="1" applyAlignment="1">
      <alignment horizontal="center" vertical="top" wrapText="1"/>
    </xf>
    <xf numFmtId="1" fontId="15" fillId="19" borderId="11" xfId="1" applyNumberFormat="1" applyFont="1" applyFill="1" applyBorder="1" applyAlignment="1">
      <alignment horizontal="center" vertical="top" wrapText="1"/>
    </xf>
    <xf numFmtId="0" fontId="15" fillId="16" borderId="11" xfId="1" applyFont="1" applyFill="1" applyBorder="1" applyAlignment="1">
      <alignment horizontal="center" wrapText="1"/>
    </xf>
    <xf numFmtId="0" fontId="15" fillId="17" borderId="11" xfId="1" applyFont="1" applyFill="1" applyBorder="1" applyAlignment="1">
      <alignment horizontal="center" wrapText="1"/>
    </xf>
    <xf numFmtId="1" fontId="14" fillId="17" borderId="1" xfId="1" applyNumberFormat="1" applyFont="1" applyFill="1" applyBorder="1" applyAlignment="1">
      <alignment horizontal="center" vertical="center" wrapText="1"/>
    </xf>
    <xf numFmtId="1" fontId="15" fillId="15" borderId="11" xfId="1" applyNumberFormat="1" applyFont="1" applyFill="1" applyBorder="1" applyAlignment="1">
      <alignment horizontal="center" vertical="top" wrapText="1"/>
    </xf>
    <xf numFmtId="1" fontId="15" fillId="19" borderId="12" xfId="1" applyNumberFormat="1" applyFont="1" applyFill="1" applyBorder="1" applyAlignment="1">
      <alignment horizontal="center" vertical="top" wrapText="1"/>
    </xf>
    <xf numFmtId="1" fontId="15" fillId="16" borderId="12" xfId="1" applyNumberFormat="1" applyFont="1" applyFill="1" applyBorder="1" applyAlignment="1">
      <alignment horizontal="center" vertical="top" wrapText="1"/>
    </xf>
    <xf numFmtId="1" fontId="15" fillId="17" borderId="12" xfId="1" applyNumberFormat="1" applyFont="1" applyFill="1" applyBorder="1" applyAlignment="1">
      <alignment horizontal="center" vertical="top" wrapText="1"/>
    </xf>
    <xf numFmtId="0" fontId="15" fillId="15" borderId="12" xfId="1" applyFont="1" applyFill="1" applyBorder="1" applyAlignment="1">
      <alignment horizontal="center" wrapText="1"/>
    </xf>
    <xf numFmtId="0" fontId="15" fillId="19" borderId="12" xfId="1" applyFont="1" applyFill="1" applyBorder="1" applyAlignment="1">
      <alignment horizontal="center" wrapText="1"/>
    </xf>
    <xf numFmtId="0" fontId="3" fillId="19" borderId="2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16" borderId="1" xfId="1" applyFont="1" applyFill="1" applyBorder="1" applyAlignment="1">
      <alignment horizontal="center" vertical="center" wrapText="1"/>
    </xf>
    <xf numFmtId="0" fontId="8" fillId="16" borderId="10" xfId="1" applyFont="1" applyFill="1" applyBorder="1" applyAlignment="1">
      <alignment horizontal="center" wrapText="1"/>
    </xf>
    <xf numFmtId="0" fontId="3" fillId="18" borderId="13" xfId="1" applyFont="1" applyFill="1" applyBorder="1" applyAlignment="1">
      <alignment horizontal="center" vertical="center" wrapText="1"/>
    </xf>
    <xf numFmtId="0" fontId="3" fillId="19" borderId="5" xfId="1" applyFont="1" applyFill="1" applyBorder="1" applyAlignment="1">
      <alignment horizontal="center" vertical="center" wrapText="1"/>
    </xf>
    <xf numFmtId="0" fontId="4" fillId="16" borderId="11" xfId="1" applyFont="1" applyFill="1" applyBorder="1" applyAlignment="1">
      <alignment horizontal="center" vertical="center" wrapText="1"/>
    </xf>
    <xf numFmtId="0" fontId="8" fillId="16" borderId="12" xfId="1" applyFont="1" applyFill="1" applyBorder="1" applyAlignment="1">
      <alignment wrapText="1"/>
    </xf>
    <xf numFmtId="1" fontId="8" fillId="16" borderId="11" xfId="1" applyNumberFormat="1" applyFont="1" applyFill="1" applyBorder="1" applyAlignment="1">
      <alignment horizontal="center" vertical="top" wrapText="1"/>
    </xf>
    <xf numFmtId="0" fontId="3" fillId="19" borderId="11" xfId="1" applyFont="1" applyFill="1" applyBorder="1" applyAlignment="1">
      <alignment horizontal="center" vertical="center" wrapText="1"/>
    </xf>
    <xf numFmtId="0" fontId="4" fillId="19" borderId="1" xfId="1" applyFont="1" applyFill="1" applyBorder="1" applyAlignment="1">
      <alignment horizontal="center" vertical="center" wrapText="1"/>
    </xf>
    <xf numFmtId="1" fontId="8" fillId="19" borderId="11" xfId="1" applyNumberFormat="1" applyFont="1" applyFill="1" applyBorder="1" applyAlignment="1">
      <alignment horizontal="center" vertical="top" wrapText="1"/>
    </xf>
    <xf numFmtId="0" fontId="4" fillId="19" borderId="11" xfId="1" applyFont="1" applyFill="1" applyBorder="1" applyAlignment="1">
      <alignment horizontal="center" vertical="center" wrapText="1"/>
    </xf>
    <xf numFmtId="0" fontId="8" fillId="19" borderId="11" xfId="1" applyFont="1" applyFill="1" applyBorder="1" applyAlignment="1">
      <alignment horizontal="center" wrapText="1"/>
    </xf>
    <xf numFmtId="0" fontId="8" fillId="16" borderId="11" xfId="1" applyFont="1" applyFill="1" applyBorder="1" applyAlignment="1">
      <alignment horizontal="center" wrapText="1"/>
    </xf>
    <xf numFmtId="1" fontId="8" fillId="19" borderId="11" xfId="1" applyNumberFormat="1" applyFont="1" applyFill="1" applyBorder="1" applyAlignment="1">
      <alignment horizontal="center" wrapText="1"/>
    </xf>
    <xf numFmtId="0" fontId="4" fillId="17" borderId="1" xfId="1" applyFont="1" applyFill="1" applyBorder="1" applyAlignment="1">
      <alignment horizontal="center" vertical="center" wrapText="1"/>
    </xf>
    <xf numFmtId="1" fontId="8" fillId="17" borderId="11" xfId="1" applyNumberFormat="1" applyFont="1" applyFill="1" applyBorder="1" applyAlignment="1">
      <alignment horizontal="center" wrapText="1"/>
    </xf>
    <xf numFmtId="0" fontId="4" fillId="15" borderId="1" xfId="1" applyFont="1" applyFill="1" applyBorder="1" applyAlignment="1">
      <alignment horizontal="center" vertical="center" wrapText="1"/>
    </xf>
    <xf numFmtId="1" fontId="8" fillId="15" borderId="11" xfId="1" applyNumberFormat="1" applyFont="1" applyFill="1" applyBorder="1" applyAlignment="1">
      <alignment horizontal="center" vertical="top" wrapText="1"/>
    </xf>
    <xf numFmtId="0" fontId="4" fillId="17" borderId="11" xfId="1" applyFont="1" applyFill="1" applyBorder="1" applyAlignment="1">
      <alignment horizontal="center" vertical="center" wrapText="1"/>
    </xf>
    <xf numFmtId="1" fontId="8" fillId="17" borderId="11" xfId="1" applyNumberFormat="1" applyFont="1" applyFill="1" applyBorder="1" applyAlignment="1">
      <alignment horizontal="center" vertical="top" wrapText="1"/>
    </xf>
    <xf numFmtId="0" fontId="8" fillId="17" borderId="11" xfId="1" applyFont="1" applyFill="1" applyBorder="1" applyAlignment="1">
      <alignment horizontal="center" wrapText="1"/>
    </xf>
    <xf numFmtId="0" fontId="4" fillId="21" borderId="11" xfId="1" applyFont="1" applyFill="1" applyBorder="1" applyAlignment="1">
      <alignment horizontal="center" vertical="center" wrapText="1"/>
    </xf>
    <xf numFmtId="1" fontId="13" fillId="21" borderId="11" xfId="1" applyNumberFormat="1" applyFont="1" applyFill="1" applyBorder="1" applyAlignment="1">
      <alignment horizontal="center" vertical="top" wrapText="1"/>
    </xf>
    <xf numFmtId="0" fontId="13" fillId="21" borderId="11" xfId="1" applyFont="1" applyFill="1" applyBorder="1" applyAlignment="1">
      <alignment horizontal="center" wrapText="1"/>
    </xf>
    <xf numFmtId="0" fontId="4" fillId="21" borderId="1" xfId="1" applyFont="1" applyFill="1" applyBorder="1" applyAlignment="1">
      <alignment horizontal="center" vertical="center" wrapText="1"/>
    </xf>
    <xf numFmtId="0" fontId="13" fillId="21" borderId="12" xfId="1" applyFont="1" applyFill="1" applyBorder="1" applyAlignment="1">
      <alignment wrapText="1"/>
    </xf>
    <xf numFmtId="1" fontId="4" fillId="21" borderId="1" xfId="1" applyNumberFormat="1" applyFont="1" applyFill="1" applyBorder="1" applyAlignment="1">
      <alignment horizontal="center" vertical="center" wrapText="1"/>
    </xf>
    <xf numFmtId="0" fontId="4" fillId="22" borderId="3" xfId="1" applyFont="1" applyFill="1" applyBorder="1" applyAlignment="1">
      <alignment horizontal="center" vertical="center" wrapText="1"/>
    </xf>
    <xf numFmtId="0" fontId="4" fillId="23" borderId="1" xfId="1" applyFont="1" applyFill="1" applyBorder="1" applyAlignment="1">
      <alignment horizontal="center" vertical="center" wrapText="1"/>
    </xf>
    <xf numFmtId="0" fontId="4" fillId="22" borderId="5" xfId="1" applyFont="1" applyFill="1" applyBorder="1" applyAlignment="1">
      <alignment horizontal="center" vertical="center" wrapText="1"/>
    </xf>
    <xf numFmtId="14" fontId="3" fillId="19" borderId="1" xfId="1" applyNumberFormat="1" applyFont="1" applyFill="1" applyBorder="1" applyAlignment="1">
      <alignment horizontal="center" vertical="center" wrapText="1"/>
    </xf>
    <xf numFmtId="0" fontId="3" fillId="24" borderId="1" xfId="1" applyFont="1" applyFill="1" applyBorder="1" applyAlignment="1">
      <alignment horizontal="center" vertical="center" wrapText="1"/>
    </xf>
    <xf numFmtId="0" fontId="3" fillId="25" borderId="1" xfId="1" applyFont="1" applyFill="1" applyBorder="1" applyAlignment="1">
      <alignment horizontal="center" vertical="center" wrapText="1"/>
    </xf>
    <xf numFmtId="0" fontId="14" fillId="26" borderId="1" xfId="1" applyFont="1" applyFill="1" applyBorder="1" applyAlignment="1">
      <alignment horizontal="center" vertical="center" wrapText="1"/>
    </xf>
    <xf numFmtId="1" fontId="15" fillId="26" borderId="11" xfId="1" applyNumberFormat="1" applyFont="1" applyFill="1" applyBorder="1" applyAlignment="1">
      <alignment horizontal="center" vertical="top" wrapText="1"/>
    </xf>
    <xf numFmtId="0" fontId="3" fillId="26" borderId="1" xfId="1" applyFont="1" applyFill="1" applyBorder="1" applyAlignment="1">
      <alignment horizontal="center" vertical="center" wrapText="1"/>
    </xf>
    <xf numFmtId="0" fontId="3" fillId="27" borderId="1" xfId="1" applyFont="1" applyFill="1" applyBorder="1" applyAlignment="1">
      <alignment horizontal="center" vertical="center" wrapText="1"/>
    </xf>
    <xf numFmtId="0" fontId="4" fillId="28" borderId="1" xfId="1" applyFont="1" applyFill="1" applyBorder="1" applyAlignment="1">
      <alignment horizontal="center" vertical="center" wrapText="1"/>
    </xf>
    <xf numFmtId="0" fontId="0" fillId="27" borderId="0" xfId="0" applyFill="1" applyAlignment="1">
      <alignment wrapText="1"/>
    </xf>
    <xf numFmtId="0" fontId="12" fillId="13" borderId="4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wrapText="1"/>
    </xf>
    <xf numFmtId="0" fontId="7" fillId="0" borderId="5" xfId="1" applyFont="1" applyBorder="1" applyAlignment="1">
      <alignment wrapText="1"/>
    </xf>
    <xf numFmtId="0" fontId="12" fillId="10" borderId="4" xfId="1" applyFont="1" applyFill="1" applyBorder="1" applyAlignment="1">
      <alignment horizontal="center" vertical="center" wrapText="1"/>
    </xf>
    <xf numFmtId="0" fontId="12" fillId="7" borderId="4" xfId="1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12" fillId="11" borderId="4" xfId="1" applyFont="1" applyFill="1" applyBorder="1" applyAlignment="1">
      <alignment horizontal="center" vertical="center" wrapText="1"/>
    </xf>
    <xf numFmtId="0" fontId="12" fillId="12" borderId="4" xfId="1" applyFont="1" applyFill="1" applyBorder="1" applyAlignment="1">
      <alignment horizontal="center" vertical="center" wrapText="1"/>
    </xf>
    <xf numFmtId="167" fontId="6" fillId="5" borderId="3" xfId="1" applyNumberFormat="1" applyFont="1" applyFill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</cellXfs>
  <cellStyles count="2">
    <cellStyle name="Normal" xfId="0" builtinId="0"/>
    <cellStyle name="Normal 2" xfId="1" xr:uid="{B048DAB6-580D-46C2-B257-818C00B2601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889F-A3E0-4908-9A46-E08BCC8F0AAE}">
  <dimension ref="A1:P183"/>
  <sheetViews>
    <sheetView tabSelected="1" topLeftCell="A171" workbookViewId="0">
      <selection activeCell="B5" sqref="B5"/>
    </sheetView>
  </sheetViews>
  <sheetFormatPr defaultRowHeight="14.5" x14ac:dyDescent="0.35"/>
  <cols>
    <col min="2" max="2" width="14.1796875" bestFit="1" customWidth="1"/>
    <col min="3" max="3" width="23.7265625" customWidth="1"/>
    <col min="4" max="4" width="17.453125" customWidth="1"/>
    <col min="6" max="6" width="17.7265625" customWidth="1"/>
    <col min="7" max="7" width="19.54296875" customWidth="1"/>
    <col min="8" max="8" width="21.81640625" customWidth="1"/>
    <col min="12" max="12" width="19.453125" customWidth="1"/>
    <col min="13" max="13" width="16.26953125" customWidth="1"/>
    <col min="14" max="14" width="17.54296875" customWidth="1"/>
    <col min="15" max="15" width="17.453125" customWidth="1"/>
    <col min="16" max="16" width="23.81640625" customWidth="1"/>
  </cols>
  <sheetData>
    <row r="1" spans="1:16" ht="23.5" x14ac:dyDescent="0.55000000000000004">
      <c r="A1" s="2" t="s">
        <v>0</v>
      </c>
      <c r="B1" s="3"/>
      <c r="C1" s="1"/>
      <c r="D1" s="1"/>
      <c r="E1" s="1"/>
      <c r="F1" s="4"/>
      <c r="G1" s="4"/>
      <c r="H1" s="5"/>
      <c r="I1" s="1"/>
      <c r="J1" s="1"/>
      <c r="K1" s="4"/>
      <c r="L1" s="1"/>
      <c r="M1" s="4"/>
      <c r="N1" s="1"/>
      <c r="O1" s="1"/>
      <c r="P1" s="1"/>
    </row>
    <row r="2" spans="1:16" ht="23.5" x14ac:dyDescent="0.55000000000000004">
      <c r="A2" s="6"/>
      <c r="B2" s="3"/>
      <c r="C2" s="1"/>
      <c r="D2" s="1"/>
      <c r="E2" s="1"/>
      <c r="F2" s="4"/>
      <c r="G2" s="4"/>
      <c r="H2" s="5"/>
      <c r="I2" s="1"/>
      <c r="J2" s="1"/>
      <c r="K2" s="1"/>
      <c r="L2" s="7" t="s">
        <v>1</v>
      </c>
      <c r="M2" s="4"/>
      <c r="N2" s="1"/>
      <c r="O2" s="1"/>
      <c r="P2" s="1"/>
    </row>
    <row r="3" spans="1:16" x14ac:dyDescent="0.35">
      <c r="A3" s="1"/>
      <c r="B3" s="3"/>
      <c r="C3" s="1"/>
      <c r="D3" s="1"/>
      <c r="E3" s="1"/>
      <c r="F3" s="4"/>
      <c r="G3" s="4"/>
      <c r="H3" s="5"/>
      <c r="I3" s="1"/>
      <c r="J3" s="1"/>
      <c r="K3" s="4"/>
      <c r="L3" s="1"/>
      <c r="M3" s="4"/>
      <c r="N3" s="1"/>
      <c r="O3" s="1"/>
      <c r="P3" s="1"/>
    </row>
    <row r="4" spans="1:16" x14ac:dyDescent="0.35">
      <c r="A4" s="8" t="s">
        <v>2</v>
      </c>
      <c r="B4" s="9" t="s">
        <v>3</v>
      </c>
      <c r="C4" s="8" t="s">
        <v>4</v>
      </c>
      <c r="D4" s="10" t="s">
        <v>5</v>
      </c>
      <c r="E4" s="10" t="s">
        <v>6</v>
      </c>
      <c r="F4" s="11" t="s">
        <v>7</v>
      </c>
      <c r="G4" s="11" t="s">
        <v>8</v>
      </c>
      <c r="H4" s="11" t="s">
        <v>9</v>
      </c>
      <c r="I4" s="1"/>
      <c r="J4" s="1"/>
      <c r="K4" s="8" t="s">
        <v>2</v>
      </c>
      <c r="L4" s="8" t="s">
        <v>10</v>
      </c>
      <c r="M4" s="8" t="s">
        <v>11</v>
      </c>
      <c r="N4" s="8" t="s">
        <v>12</v>
      </c>
      <c r="O4" s="8" t="s">
        <v>13</v>
      </c>
      <c r="P4" s="8" t="s">
        <v>14</v>
      </c>
    </row>
    <row r="5" spans="1:16" x14ac:dyDescent="0.35">
      <c r="A5" s="12">
        <v>1</v>
      </c>
      <c r="B5" s="13"/>
      <c r="C5" s="12"/>
      <c r="D5" s="12"/>
      <c r="E5" s="12"/>
      <c r="F5" s="14"/>
      <c r="G5" s="14"/>
      <c r="H5" s="15"/>
      <c r="I5" s="1"/>
      <c r="J5" s="1"/>
      <c r="K5" s="16"/>
      <c r="L5" s="16"/>
      <c r="M5" s="16"/>
      <c r="N5" s="14"/>
      <c r="O5" s="16"/>
      <c r="P5" s="16"/>
    </row>
    <row r="6" spans="1:16" x14ac:dyDescent="0.35">
      <c r="A6" s="12">
        <v>2</v>
      </c>
      <c r="B6" s="13"/>
      <c r="C6" s="12"/>
      <c r="D6" s="12"/>
      <c r="E6" s="12"/>
      <c r="F6" s="14"/>
      <c r="G6" s="14"/>
      <c r="H6" s="15"/>
      <c r="I6" s="1"/>
      <c r="J6" s="1"/>
      <c r="K6" s="16"/>
      <c r="L6" s="16"/>
      <c r="M6" s="16"/>
      <c r="N6" s="14"/>
      <c r="O6" s="16"/>
      <c r="P6" s="16"/>
    </row>
    <row r="7" spans="1:16" x14ac:dyDescent="0.35">
      <c r="A7" s="12">
        <v>3</v>
      </c>
      <c r="B7" s="13"/>
      <c r="C7" s="12"/>
      <c r="D7" s="12"/>
      <c r="E7" s="12"/>
      <c r="F7" s="14"/>
      <c r="G7" s="14"/>
      <c r="H7" s="15"/>
      <c r="I7" s="1"/>
      <c r="J7" s="1"/>
      <c r="K7" s="17"/>
      <c r="L7" s="17"/>
      <c r="M7" s="17"/>
      <c r="N7" s="18"/>
      <c r="O7" s="17"/>
      <c r="P7" s="17"/>
    </row>
    <row r="8" spans="1:16" x14ac:dyDescent="0.35">
      <c r="A8" s="12">
        <v>4</v>
      </c>
      <c r="B8" s="13"/>
      <c r="C8" s="12"/>
      <c r="D8" s="12"/>
      <c r="E8" s="12"/>
      <c r="F8" s="14"/>
      <c r="G8" s="14"/>
      <c r="H8" s="15"/>
      <c r="I8" s="1"/>
      <c r="J8" s="1"/>
      <c r="K8" s="16"/>
      <c r="L8" s="16"/>
      <c r="M8" s="16"/>
      <c r="N8" s="14"/>
      <c r="O8" s="16"/>
      <c r="P8" s="16"/>
    </row>
    <row r="9" spans="1:16" x14ac:dyDescent="0.35">
      <c r="A9" s="12">
        <v>5</v>
      </c>
      <c r="B9" s="13"/>
      <c r="C9" s="12"/>
      <c r="D9" s="12"/>
      <c r="E9" s="12"/>
      <c r="F9" s="14"/>
      <c r="G9" s="14"/>
      <c r="H9" s="15"/>
      <c r="I9" s="1"/>
      <c r="J9" s="1"/>
      <c r="K9" s="16"/>
      <c r="L9" s="16"/>
      <c r="M9" s="16"/>
      <c r="N9" s="14"/>
      <c r="O9" s="16"/>
      <c r="P9" s="16"/>
    </row>
    <row r="10" spans="1:16" x14ac:dyDescent="0.35">
      <c r="A10" s="12">
        <v>6</v>
      </c>
      <c r="B10" s="13"/>
      <c r="C10" s="12"/>
      <c r="D10" s="12"/>
      <c r="E10" s="12"/>
      <c r="F10" s="14"/>
      <c r="G10" s="14"/>
      <c r="H10" s="15"/>
      <c r="I10" s="1"/>
      <c r="J10" s="1"/>
      <c r="K10" s="16"/>
      <c r="L10" s="16"/>
      <c r="M10" s="16"/>
      <c r="N10" s="16"/>
      <c r="O10" s="16"/>
      <c r="P10" s="16"/>
    </row>
    <row r="11" spans="1:16" x14ac:dyDescent="0.35">
      <c r="A11" s="12">
        <v>7</v>
      </c>
      <c r="B11" s="13"/>
      <c r="C11" s="12"/>
      <c r="D11" s="12"/>
      <c r="E11" s="12"/>
      <c r="F11" s="14"/>
      <c r="G11" s="14"/>
      <c r="H11" s="15"/>
      <c r="I11" s="1"/>
      <c r="J11" s="1"/>
      <c r="K11" s="16"/>
      <c r="L11" s="19"/>
      <c r="M11" s="16"/>
      <c r="N11" s="19"/>
      <c r="O11" s="19"/>
      <c r="P11" s="19"/>
    </row>
    <row r="12" spans="1:16" x14ac:dyDescent="0.35">
      <c r="A12" s="12">
        <v>8</v>
      </c>
      <c r="B12" s="13"/>
      <c r="C12" s="12"/>
      <c r="D12" s="12"/>
      <c r="E12" s="12"/>
      <c r="F12" s="14"/>
      <c r="G12" s="14"/>
      <c r="H12" s="15"/>
      <c r="I12" s="1"/>
      <c r="J12" s="1"/>
      <c r="K12" s="16"/>
      <c r="L12" s="19"/>
      <c r="M12" s="16"/>
      <c r="N12" s="19"/>
      <c r="O12" s="19"/>
      <c r="P12" s="19"/>
    </row>
    <row r="13" spans="1:16" x14ac:dyDescent="0.35">
      <c r="A13" s="12">
        <v>9</v>
      </c>
      <c r="B13" s="13"/>
      <c r="C13" s="12"/>
      <c r="D13" s="12"/>
      <c r="E13" s="12"/>
      <c r="F13" s="14"/>
      <c r="G13" s="14"/>
      <c r="H13" s="15"/>
      <c r="I13" s="1"/>
      <c r="J13" s="1"/>
      <c r="K13" s="16"/>
      <c r="L13" s="19"/>
      <c r="M13" s="16"/>
      <c r="N13" s="19"/>
      <c r="O13" s="19"/>
      <c r="P13" s="19"/>
    </row>
    <row r="14" spans="1:16" x14ac:dyDescent="0.35">
      <c r="A14" s="12">
        <v>10</v>
      </c>
      <c r="B14" s="13"/>
      <c r="C14" s="12"/>
      <c r="D14" s="12"/>
      <c r="E14" s="12"/>
      <c r="F14" s="14"/>
      <c r="G14" s="14"/>
      <c r="H14" s="15"/>
      <c r="I14" s="1"/>
      <c r="J14" s="1"/>
      <c r="K14" s="16"/>
      <c r="L14" s="19"/>
      <c r="M14" s="16"/>
      <c r="N14" s="19"/>
      <c r="O14" s="19"/>
      <c r="P14" s="19"/>
    </row>
    <row r="15" spans="1:16" x14ac:dyDescent="0.35">
      <c r="A15" s="12">
        <v>11</v>
      </c>
      <c r="B15" s="13"/>
      <c r="C15" s="12"/>
      <c r="D15" s="12"/>
      <c r="E15" s="12"/>
      <c r="F15" s="14"/>
      <c r="G15" s="14"/>
      <c r="H15" s="15"/>
      <c r="I15" s="1"/>
      <c r="J15" s="1"/>
      <c r="K15" s="16"/>
      <c r="L15" s="19"/>
      <c r="M15" s="16"/>
      <c r="N15" s="19"/>
      <c r="O15" s="19"/>
      <c r="P15" s="19"/>
    </row>
    <row r="16" spans="1:16" x14ac:dyDescent="0.35">
      <c r="A16" s="12">
        <v>12</v>
      </c>
      <c r="B16" s="13"/>
      <c r="C16" s="12"/>
      <c r="D16" s="12"/>
      <c r="E16" s="12"/>
      <c r="F16" s="14"/>
      <c r="G16" s="14"/>
      <c r="H16" s="15"/>
      <c r="I16" s="1"/>
      <c r="J16" s="1"/>
      <c r="K16" s="16"/>
      <c r="L16" s="19"/>
      <c r="M16" s="16"/>
      <c r="N16" s="19"/>
      <c r="O16" s="19"/>
      <c r="P16" s="19"/>
    </row>
    <row r="17" spans="1:16" x14ac:dyDescent="0.35">
      <c r="A17" s="12">
        <v>13</v>
      </c>
      <c r="B17" s="13"/>
      <c r="C17" s="12"/>
      <c r="D17" s="12"/>
      <c r="E17" s="12"/>
      <c r="F17" s="14"/>
      <c r="G17" s="14"/>
      <c r="H17" s="15"/>
      <c r="I17" s="1"/>
      <c r="J17" s="1"/>
      <c r="K17" s="16"/>
      <c r="L17" s="19"/>
      <c r="M17" s="16"/>
      <c r="N17" s="19"/>
      <c r="O17" s="19"/>
      <c r="P17" s="19"/>
    </row>
    <row r="18" spans="1:16" x14ac:dyDescent="0.35">
      <c r="A18" s="12">
        <v>14</v>
      </c>
      <c r="B18" s="13"/>
      <c r="C18" s="12"/>
      <c r="D18" s="12"/>
      <c r="E18" s="12"/>
      <c r="F18" s="14"/>
      <c r="G18" s="14"/>
      <c r="H18" s="15"/>
      <c r="I18" s="1"/>
      <c r="J18" s="1"/>
      <c r="K18" s="16"/>
      <c r="L18" s="19"/>
      <c r="M18" s="16"/>
      <c r="N18" s="19"/>
      <c r="O18" s="19"/>
      <c r="P18" s="19"/>
    </row>
    <row r="19" spans="1:16" x14ac:dyDescent="0.35">
      <c r="A19" s="12">
        <v>15</v>
      </c>
      <c r="B19" s="13"/>
      <c r="C19" s="12"/>
      <c r="D19" s="12"/>
      <c r="E19" s="12"/>
      <c r="F19" s="14"/>
      <c r="G19" s="14"/>
      <c r="H19" s="15"/>
      <c r="I19" s="1"/>
      <c r="J19" s="1"/>
      <c r="K19" s="16"/>
      <c r="L19" s="19"/>
      <c r="M19" s="16"/>
      <c r="N19" s="19"/>
      <c r="O19" s="19"/>
      <c r="P19" s="19"/>
    </row>
    <row r="20" spans="1:16" x14ac:dyDescent="0.35">
      <c r="A20" s="12">
        <v>16</v>
      </c>
      <c r="B20" s="13"/>
      <c r="C20" s="12"/>
      <c r="D20" s="12"/>
      <c r="E20" s="12"/>
      <c r="F20" s="14"/>
      <c r="G20" s="14"/>
      <c r="H20" s="15"/>
      <c r="I20" s="1"/>
      <c r="J20" s="1"/>
      <c r="K20" s="16"/>
      <c r="L20" s="19"/>
      <c r="M20" s="16"/>
      <c r="N20" s="19"/>
      <c r="O20" s="19"/>
      <c r="P20" s="19"/>
    </row>
    <row r="21" spans="1:16" x14ac:dyDescent="0.35">
      <c r="A21" s="12">
        <v>17</v>
      </c>
      <c r="B21" s="13"/>
      <c r="C21" s="12"/>
      <c r="D21" s="12"/>
      <c r="E21" s="12"/>
      <c r="F21" s="14"/>
      <c r="G21" s="14"/>
      <c r="H21" s="15"/>
      <c r="I21" s="1"/>
      <c r="J21" s="1"/>
      <c r="K21" s="16"/>
      <c r="L21" s="19"/>
      <c r="M21" s="16"/>
      <c r="N21" s="19"/>
      <c r="O21" s="19"/>
      <c r="P21" s="19"/>
    </row>
    <row r="22" spans="1:16" x14ac:dyDescent="0.35">
      <c r="A22" s="12">
        <v>18</v>
      </c>
      <c r="B22" s="13"/>
      <c r="C22" s="12"/>
      <c r="D22" s="12"/>
      <c r="E22" s="12"/>
      <c r="F22" s="14"/>
      <c r="G22" s="14"/>
      <c r="H22" s="15"/>
      <c r="I22" s="1"/>
      <c r="J22" s="1"/>
      <c r="K22" s="16"/>
      <c r="L22" s="19"/>
      <c r="M22" s="16"/>
      <c r="N22" s="19"/>
      <c r="O22" s="19"/>
      <c r="P22" s="19"/>
    </row>
    <row r="23" spans="1:16" x14ac:dyDescent="0.35">
      <c r="A23" s="12">
        <v>19</v>
      </c>
      <c r="B23" s="13"/>
      <c r="C23" s="12"/>
      <c r="D23" s="12"/>
      <c r="E23" s="12"/>
      <c r="F23" s="14"/>
      <c r="G23" s="14"/>
      <c r="H23" s="15"/>
      <c r="I23" s="1"/>
      <c r="J23" s="1"/>
      <c r="K23" s="16"/>
      <c r="L23" s="19"/>
      <c r="M23" s="16"/>
      <c r="N23" s="19"/>
      <c r="O23" s="19"/>
      <c r="P23" s="19"/>
    </row>
    <row r="24" spans="1:16" x14ac:dyDescent="0.35">
      <c r="A24" s="12">
        <v>20</v>
      </c>
      <c r="B24" s="13"/>
      <c r="C24" s="12"/>
      <c r="D24" s="12"/>
      <c r="E24" s="12"/>
      <c r="F24" s="14"/>
      <c r="G24" s="14"/>
      <c r="H24" s="15"/>
      <c r="I24" s="1"/>
      <c r="J24" s="1"/>
      <c r="K24" s="16"/>
      <c r="L24" s="19"/>
      <c r="M24" s="16"/>
      <c r="N24" s="19"/>
      <c r="O24" s="19"/>
      <c r="P24" s="19"/>
    </row>
    <row r="25" spans="1:16" x14ac:dyDescent="0.35">
      <c r="A25" s="12">
        <v>21</v>
      </c>
      <c r="B25" s="20"/>
      <c r="C25" s="12"/>
      <c r="D25" s="12"/>
      <c r="E25" s="12"/>
      <c r="F25" s="14"/>
      <c r="G25" s="14"/>
      <c r="H25" s="15"/>
      <c r="I25" s="1"/>
      <c r="J25" s="1"/>
      <c r="K25" s="16"/>
      <c r="L25" s="19"/>
      <c r="M25" s="16"/>
      <c r="N25" s="19"/>
      <c r="O25" s="19"/>
      <c r="P25" s="19"/>
    </row>
    <row r="26" spans="1:16" x14ac:dyDescent="0.35">
      <c r="A26" s="12">
        <v>22</v>
      </c>
      <c r="B26" s="13"/>
      <c r="C26" s="12"/>
      <c r="D26" s="12"/>
      <c r="E26" s="12"/>
      <c r="F26" s="14"/>
      <c r="G26" s="14"/>
      <c r="H26" s="15"/>
      <c r="I26" s="1"/>
      <c r="J26" s="1"/>
      <c r="K26" s="16"/>
      <c r="L26" s="19"/>
      <c r="M26" s="16"/>
      <c r="N26" s="19"/>
      <c r="O26" s="19"/>
      <c r="P26" s="19"/>
    </row>
    <row r="27" spans="1:16" ht="23.5" x14ac:dyDescent="0.35">
      <c r="A27" s="205">
        <v>45870</v>
      </c>
      <c r="B27" s="206"/>
      <c r="C27" s="206"/>
      <c r="D27" s="206"/>
      <c r="E27" s="206"/>
      <c r="F27" s="206"/>
      <c r="G27" s="207"/>
      <c r="H27" s="21">
        <v>558500</v>
      </c>
      <c r="I27" s="1"/>
      <c r="J27" s="1"/>
      <c r="K27" s="205">
        <v>45870</v>
      </c>
      <c r="L27" s="206"/>
      <c r="M27" s="206"/>
      <c r="N27" s="206"/>
      <c r="O27" s="207"/>
      <c r="P27" s="22"/>
    </row>
    <row r="28" spans="1:16" x14ac:dyDescent="0.35">
      <c r="A28" s="23">
        <v>1</v>
      </c>
      <c r="B28" s="24"/>
      <c r="C28" s="23"/>
      <c r="D28" s="23"/>
      <c r="E28" s="23"/>
      <c r="F28" s="15"/>
      <c r="G28" s="15"/>
      <c r="H28" s="15"/>
      <c r="I28" s="5"/>
      <c r="J28" s="5"/>
      <c r="K28" s="16"/>
      <c r="L28" s="16"/>
      <c r="M28" s="16"/>
      <c r="N28" s="14"/>
      <c r="O28" s="16"/>
      <c r="P28" s="25"/>
    </row>
    <row r="29" spans="1:16" x14ac:dyDescent="0.35">
      <c r="A29" s="12">
        <v>2</v>
      </c>
      <c r="B29" s="13"/>
      <c r="C29" s="12"/>
      <c r="D29" s="12"/>
      <c r="E29" s="12"/>
      <c r="F29" s="14"/>
      <c r="G29" s="14"/>
      <c r="H29" s="15"/>
      <c r="I29" s="1"/>
      <c r="J29" s="1"/>
      <c r="K29" s="16"/>
      <c r="L29" s="16"/>
      <c r="M29" s="16"/>
      <c r="N29" s="14"/>
      <c r="O29" s="16"/>
      <c r="P29" s="25"/>
    </row>
    <row r="30" spans="1:16" x14ac:dyDescent="0.35">
      <c r="A30" s="12">
        <v>3</v>
      </c>
      <c r="B30" s="13"/>
      <c r="C30" s="12"/>
      <c r="D30" s="12"/>
      <c r="E30" s="12"/>
      <c r="F30" s="14"/>
      <c r="G30" s="14"/>
      <c r="H30" s="15"/>
      <c r="I30" s="1"/>
      <c r="J30" s="1"/>
      <c r="K30" s="16"/>
      <c r="L30" s="16"/>
      <c r="M30" s="16"/>
      <c r="N30" s="14"/>
      <c r="O30" s="16"/>
      <c r="P30" s="16"/>
    </row>
    <row r="31" spans="1:16" x14ac:dyDescent="0.35">
      <c r="A31" s="12">
        <v>4</v>
      </c>
      <c r="B31" s="20"/>
      <c r="C31" s="12"/>
      <c r="D31" s="12"/>
      <c r="E31" s="12"/>
      <c r="F31" s="14"/>
      <c r="G31" s="14"/>
      <c r="H31" s="15"/>
      <c r="I31" s="1"/>
      <c r="J31" s="1"/>
      <c r="K31" s="16"/>
      <c r="L31" s="16"/>
      <c r="M31" s="16"/>
      <c r="N31" s="14"/>
      <c r="O31" s="16"/>
      <c r="P31" s="16"/>
    </row>
    <row r="32" spans="1:16" x14ac:dyDescent="0.35">
      <c r="A32" s="12">
        <v>5</v>
      </c>
      <c r="B32" s="20"/>
      <c r="C32" s="12"/>
      <c r="D32" s="12"/>
      <c r="E32" s="12"/>
      <c r="F32" s="14"/>
      <c r="G32" s="14"/>
      <c r="H32" s="15"/>
      <c r="I32" s="1"/>
      <c r="J32" s="1"/>
      <c r="K32" s="16"/>
      <c r="L32" s="16"/>
      <c r="M32" s="16"/>
      <c r="N32" s="14"/>
      <c r="O32" s="16"/>
      <c r="P32" s="16"/>
    </row>
    <row r="33" spans="1:16" x14ac:dyDescent="0.35">
      <c r="A33" s="12">
        <v>6</v>
      </c>
      <c r="B33" s="13"/>
      <c r="C33" s="26"/>
      <c r="D33" s="12"/>
      <c r="E33" s="12"/>
      <c r="F33" s="14"/>
      <c r="G33" s="14"/>
      <c r="H33" s="15"/>
      <c r="I33" s="1"/>
      <c r="J33" s="1"/>
      <c r="K33" s="16"/>
      <c r="L33" s="19"/>
      <c r="M33" s="16"/>
      <c r="N33" s="19"/>
      <c r="O33" s="19"/>
      <c r="P33" s="19"/>
    </row>
    <row r="34" spans="1:16" x14ac:dyDescent="0.35">
      <c r="A34" s="12">
        <v>7</v>
      </c>
      <c r="B34" s="13"/>
      <c r="C34" s="12"/>
      <c r="D34" s="12"/>
      <c r="E34" s="12"/>
      <c r="F34" s="14"/>
      <c r="G34" s="14"/>
      <c r="H34" s="15"/>
      <c r="I34" s="1"/>
      <c r="J34" s="1"/>
      <c r="K34" s="16"/>
      <c r="L34" s="19"/>
      <c r="M34" s="16"/>
      <c r="N34" s="19"/>
      <c r="O34" s="19"/>
      <c r="P34" s="19"/>
    </row>
    <row r="35" spans="1:16" x14ac:dyDescent="0.35">
      <c r="A35" s="12">
        <v>8</v>
      </c>
      <c r="B35" s="13"/>
      <c r="C35" s="12"/>
      <c r="D35" s="12"/>
      <c r="E35" s="12"/>
      <c r="F35" s="14"/>
      <c r="G35" s="14"/>
      <c r="H35" s="15"/>
      <c r="I35" s="1"/>
      <c r="J35" s="1"/>
      <c r="K35" s="16"/>
      <c r="L35" s="19"/>
      <c r="M35" s="16"/>
      <c r="N35" s="19"/>
      <c r="O35" s="19"/>
      <c r="P35" s="19"/>
    </row>
    <row r="36" spans="1:16" x14ac:dyDescent="0.35">
      <c r="A36" s="12">
        <v>9</v>
      </c>
      <c r="B36" s="13"/>
      <c r="C36" s="12"/>
      <c r="D36" s="12"/>
      <c r="E36" s="12"/>
      <c r="F36" s="14"/>
      <c r="G36" s="14"/>
      <c r="H36" s="15"/>
      <c r="I36" s="1"/>
      <c r="J36" s="1"/>
      <c r="K36" s="16"/>
      <c r="L36" s="19"/>
      <c r="M36" s="16"/>
      <c r="N36" s="19"/>
      <c r="O36" s="19"/>
      <c r="P36" s="19"/>
    </row>
    <row r="37" spans="1:16" x14ac:dyDescent="0.35">
      <c r="A37" s="12">
        <v>10</v>
      </c>
      <c r="B37" s="13"/>
      <c r="C37" s="12"/>
      <c r="D37" s="12"/>
      <c r="E37" s="12"/>
      <c r="F37" s="14"/>
      <c r="G37" s="14"/>
      <c r="H37" s="15"/>
      <c r="I37" s="1"/>
      <c r="J37" s="1"/>
      <c r="K37" s="16"/>
      <c r="L37" s="19"/>
      <c r="M37" s="16"/>
      <c r="N37" s="19"/>
      <c r="O37" s="19"/>
      <c r="P37" s="19"/>
    </row>
    <row r="38" spans="1:16" x14ac:dyDescent="0.35">
      <c r="A38" s="12">
        <v>11</v>
      </c>
      <c r="B38" s="13"/>
      <c r="C38" s="12"/>
      <c r="D38" s="12"/>
      <c r="E38" s="12"/>
      <c r="F38" s="14"/>
      <c r="G38" s="14"/>
      <c r="H38" s="15"/>
      <c r="I38" s="1"/>
      <c r="J38" s="1"/>
      <c r="K38" s="16"/>
      <c r="L38" s="19"/>
      <c r="M38" s="16"/>
      <c r="N38" s="19"/>
      <c r="O38" s="19"/>
      <c r="P38" s="19"/>
    </row>
    <row r="39" spans="1:16" x14ac:dyDescent="0.35">
      <c r="A39" s="12">
        <v>12</v>
      </c>
      <c r="B39" s="13"/>
      <c r="C39" s="12"/>
      <c r="D39" s="12"/>
      <c r="E39" s="12"/>
      <c r="F39" s="14"/>
      <c r="G39" s="14"/>
      <c r="H39" s="15"/>
      <c r="I39" s="1"/>
      <c r="J39" s="1"/>
      <c r="K39" s="16"/>
      <c r="L39" s="19"/>
      <c r="M39" s="16"/>
      <c r="N39" s="19"/>
      <c r="O39" s="19"/>
      <c r="P39" s="19"/>
    </row>
    <row r="40" spans="1:16" x14ac:dyDescent="0.35">
      <c r="A40" s="12">
        <v>13</v>
      </c>
      <c r="B40" s="13"/>
      <c r="C40" s="12"/>
      <c r="D40" s="12"/>
      <c r="E40" s="12"/>
      <c r="F40" s="14"/>
      <c r="G40" s="14"/>
      <c r="H40" s="15"/>
      <c r="I40" s="1"/>
      <c r="J40" s="1"/>
      <c r="K40" s="16"/>
      <c r="L40" s="19"/>
      <c r="M40" s="16"/>
      <c r="N40" s="19"/>
      <c r="O40" s="19"/>
      <c r="P40" s="19"/>
    </row>
    <row r="41" spans="1:16" x14ac:dyDescent="0.35">
      <c r="A41" s="12">
        <v>14</v>
      </c>
      <c r="B41" s="13"/>
      <c r="C41" s="12"/>
      <c r="D41" s="12"/>
      <c r="E41" s="12"/>
      <c r="F41" s="14"/>
      <c r="G41" s="14"/>
      <c r="H41" s="15"/>
      <c r="I41" s="1"/>
      <c r="J41" s="1"/>
      <c r="K41" s="16"/>
      <c r="L41" s="19"/>
      <c r="M41" s="16"/>
      <c r="N41" s="19"/>
      <c r="O41" s="19"/>
      <c r="P41" s="19"/>
    </row>
    <row r="42" spans="1:16" x14ac:dyDescent="0.35">
      <c r="A42" s="12">
        <v>15</v>
      </c>
      <c r="B42" s="13"/>
      <c r="C42" s="12"/>
      <c r="D42" s="12"/>
      <c r="E42" s="12"/>
      <c r="F42" s="14"/>
      <c r="G42" s="14"/>
      <c r="H42" s="15"/>
      <c r="I42" s="1"/>
      <c r="J42" s="1"/>
      <c r="K42" s="16"/>
      <c r="L42" s="19"/>
      <c r="M42" s="16"/>
      <c r="N42" s="19"/>
      <c r="O42" s="19"/>
      <c r="P42" s="19"/>
    </row>
    <row r="43" spans="1:16" x14ac:dyDescent="0.35">
      <c r="A43" s="12">
        <v>16</v>
      </c>
      <c r="B43" s="13"/>
      <c r="C43" s="12"/>
      <c r="D43" s="12"/>
      <c r="E43" s="12"/>
      <c r="F43" s="14"/>
      <c r="G43" s="14"/>
      <c r="H43" s="15"/>
      <c r="I43" s="1"/>
      <c r="J43" s="1"/>
      <c r="K43" s="16"/>
      <c r="L43" s="19"/>
      <c r="M43" s="16"/>
      <c r="N43" s="19"/>
      <c r="O43" s="19"/>
      <c r="P43" s="19"/>
    </row>
    <row r="44" spans="1:16" ht="23.5" x14ac:dyDescent="0.35">
      <c r="A44" s="205">
        <v>45901</v>
      </c>
      <c r="B44" s="206"/>
      <c r="C44" s="206"/>
      <c r="D44" s="206"/>
      <c r="E44" s="207"/>
      <c r="F44" s="27"/>
      <c r="G44" s="27"/>
      <c r="H44" s="21">
        <v>2949500</v>
      </c>
      <c r="I44" s="1"/>
      <c r="J44" s="1"/>
      <c r="K44" s="205">
        <v>45901</v>
      </c>
      <c r="L44" s="206"/>
      <c r="M44" s="206"/>
      <c r="N44" s="206"/>
      <c r="O44" s="207"/>
      <c r="P44" s="22"/>
    </row>
    <row r="45" spans="1:16" x14ac:dyDescent="0.35">
      <c r="A45" s="23">
        <v>1</v>
      </c>
      <c r="B45" s="24"/>
      <c r="C45" s="23"/>
      <c r="D45" s="23"/>
      <c r="E45" s="23"/>
      <c r="F45" s="15"/>
      <c r="G45" s="15"/>
      <c r="H45" s="15"/>
      <c r="I45" s="5"/>
      <c r="J45" s="5"/>
      <c r="K45" s="28"/>
      <c r="L45" s="28"/>
      <c r="M45" s="28"/>
      <c r="N45" s="29"/>
      <c r="O45" s="28"/>
      <c r="P45" s="28"/>
    </row>
    <row r="46" spans="1:16" x14ac:dyDescent="0.35">
      <c r="A46" s="12">
        <v>2</v>
      </c>
      <c r="B46" s="13"/>
      <c r="C46" s="12"/>
      <c r="D46" s="12"/>
      <c r="E46" s="12"/>
      <c r="F46" s="15"/>
      <c r="G46" s="14"/>
      <c r="H46" s="15"/>
      <c r="I46" s="1"/>
      <c r="J46" s="1"/>
      <c r="K46" s="16"/>
      <c r="L46" s="16"/>
      <c r="M46" s="16"/>
      <c r="N46" s="29"/>
      <c r="O46" s="28"/>
      <c r="P46" s="16"/>
    </row>
    <row r="47" spans="1:16" x14ac:dyDescent="0.35">
      <c r="A47" s="12">
        <v>3</v>
      </c>
      <c r="B47" s="13"/>
      <c r="C47" s="12"/>
      <c r="D47" s="12"/>
      <c r="E47" s="12"/>
      <c r="F47" s="14"/>
      <c r="G47" s="14"/>
      <c r="H47" s="15"/>
      <c r="I47" s="1"/>
      <c r="J47" s="1"/>
      <c r="K47" s="16"/>
      <c r="L47" s="16"/>
      <c r="M47" s="16"/>
      <c r="N47" s="29"/>
      <c r="O47" s="28"/>
      <c r="P47" s="16"/>
    </row>
    <row r="48" spans="1:16" x14ac:dyDescent="0.35">
      <c r="A48" s="12">
        <v>4</v>
      </c>
      <c r="B48" s="13"/>
      <c r="C48" s="12"/>
      <c r="D48" s="12"/>
      <c r="E48" s="12"/>
      <c r="F48" s="14"/>
      <c r="G48" s="14"/>
      <c r="H48" s="15"/>
      <c r="I48" s="1"/>
      <c r="J48" s="1"/>
      <c r="K48" s="16"/>
      <c r="L48" s="16"/>
      <c r="M48" s="16"/>
      <c r="N48" s="29"/>
      <c r="O48" s="28"/>
      <c r="P48" s="16"/>
    </row>
    <row r="49" spans="1:16" x14ac:dyDescent="0.35">
      <c r="A49" s="12">
        <v>5</v>
      </c>
      <c r="B49" s="13"/>
      <c r="C49" s="12"/>
      <c r="D49" s="12"/>
      <c r="E49" s="12"/>
      <c r="F49" s="14"/>
      <c r="G49" s="14"/>
      <c r="H49" s="15"/>
      <c r="I49" s="1"/>
      <c r="J49" s="1"/>
      <c r="K49" s="16"/>
      <c r="L49" s="16"/>
      <c r="M49" s="16"/>
      <c r="N49" s="29"/>
      <c r="O49" s="28"/>
      <c r="P49" s="16"/>
    </row>
    <row r="50" spans="1:16" x14ac:dyDescent="0.35">
      <c r="A50" s="16">
        <v>6</v>
      </c>
      <c r="B50" s="30"/>
      <c r="C50" s="16"/>
      <c r="D50" s="16"/>
      <c r="E50" s="16"/>
      <c r="F50" s="31"/>
      <c r="G50" s="31"/>
      <c r="H50" s="29"/>
      <c r="I50" s="1"/>
      <c r="J50" s="1"/>
      <c r="K50" s="16"/>
      <c r="L50" s="19"/>
      <c r="M50" s="16"/>
      <c r="N50" s="19"/>
      <c r="O50" s="19"/>
      <c r="P50" s="19"/>
    </row>
    <row r="51" spans="1:16" x14ac:dyDescent="0.35">
      <c r="A51" s="16">
        <v>7</v>
      </c>
      <c r="B51" s="30"/>
      <c r="C51" s="16"/>
      <c r="D51" s="16"/>
      <c r="E51" s="16"/>
      <c r="F51" s="31"/>
      <c r="G51" s="31"/>
      <c r="H51" s="29"/>
      <c r="I51" s="1"/>
      <c r="J51" s="1"/>
      <c r="K51" s="16"/>
      <c r="L51" s="19"/>
      <c r="M51" s="16"/>
      <c r="N51" s="19"/>
      <c r="O51" s="19"/>
      <c r="P51" s="19"/>
    </row>
    <row r="52" spans="1:16" x14ac:dyDescent="0.35">
      <c r="A52" s="16">
        <v>8</v>
      </c>
      <c r="B52" s="32"/>
      <c r="C52" s="16"/>
      <c r="D52" s="16"/>
      <c r="E52" s="16"/>
      <c r="F52" s="31"/>
      <c r="G52" s="31"/>
      <c r="H52" s="29"/>
      <c r="I52" s="1"/>
      <c r="J52" s="1"/>
      <c r="K52" s="16"/>
      <c r="L52" s="19"/>
      <c r="M52" s="16"/>
      <c r="N52" s="19"/>
      <c r="O52" s="19"/>
      <c r="P52" s="19"/>
    </row>
    <row r="53" spans="1:16" x14ac:dyDescent="0.35">
      <c r="A53" s="16">
        <v>9</v>
      </c>
      <c r="B53" s="32"/>
      <c r="C53" s="16"/>
      <c r="D53" s="16"/>
      <c r="E53" s="16"/>
      <c r="F53" s="31"/>
      <c r="G53" s="31"/>
      <c r="H53" s="29"/>
      <c r="I53" s="1"/>
      <c r="J53" s="1"/>
      <c r="K53" s="16"/>
      <c r="L53" s="19"/>
      <c r="M53" s="16"/>
      <c r="N53" s="19"/>
      <c r="O53" s="19"/>
      <c r="P53" s="19"/>
    </row>
    <row r="54" spans="1:16" x14ac:dyDescent="0.35">
      <c r="A54" s="16">
        <v>10</v>
      </c>
      <c r="B54" s="32"/>
      <c r="C54" s="16"/>
      <c r="D54" s="16"/>
      <c r="E54" s="16"/>
      <c r="F54" s="31"/>
      <c r="G54" s="31"/>
      <c r="H54" s="29"/>
      <c r="I54" s="1"/>
      <c r="J54" s="1"/>
      <c r="K54" s="16"/>
      <c r="L54" s="19"/>
      <c r="M54" s="16"/>
      <c r="N54" s="19"/>
      <c r="O54" s="19"/>
      <c r="P54" s="19"/>
    </row>
    <row r="55" spans="1:16" x14ac:dyDescent="0.35">
      <c r="A55" s="16">
        <v>12</v>
      </c>
      <c r="B55" s="32"/>
      <c r="C55" s="16"/>
      <c r="D55" s="16"/>
      <c r="E55" s="16"/>
      <c r="F55" s="31"/>
      <c r="G55" s="31"/>
      <c r="H55" s="29"/>
      <c r="I55" s="1"/>
      <c r="J55" s="1"/>
      <c r="K55" s="16"/>
      <c r="L55" s="19"/>
      <c r="M55" s="16"/>
      <c r="N55" s="19"/>
      <c r="O55" s="19"/>
      <c r="P55" s="19"/>
    </row>
    <row r="56" spans="1:16" x14ac:dyDescent="0.35">
      <c r="A56" s="16">
        <v>13</v>
      </c>
      <c r="B56" s="32"/>
      <c r="C56" s="16"/>
      <c r="D56" s="16"/>
      <c r="E56" s="16"/>
      <c r="F56" s="31"/>
      <c r="G56" s="31"/>
      <c r="H56" s="29"/>
      <c r="I56" s="1"/>
      <c r="J56" s="1"/>
      <c r="K56" s="16"/>
      <c r="L56" s="19"/>
      <c r="M56" s="16"/>
      <c r="N56" s="19"/>
      <c r="O56" s="19"/>
      <c r="P56" s="19"/>
    </row>
    <row r="57" spans="1:16" x14ac:dyDescent="0.35">
      <c r="A57" s="16">
        <v>14</v>
      </c>
      <c r="B57" s="32"/>
      <c r="C57" s="16"/>
      <c r="D57" s="19"/>
      <c r="E57" s="19"/>
      <c r="F57" s="31"/>
      <c r="G57" s="31"/>
      <c r="H57" s="29"/>
      <c r="I57" s="1"/>
      <c r="J57" s="1"/>
      <c r="K57" s="16"/>
      <c r="L57" s="19"/>
      <c r="M57" s="16"/>
      <c r="N57" s="19"/>
      <c r="O57" s="19"/>
      <c r="P57" s="19"/>
    </row>
    <row r="58" spans="1:16" x14ac:dyDescent="0.35">
      <c r="A58" s="16">
        <v>15</v>
      </c>
      <c r="B58" s="32"/>
      <c r="C58" s="16"/>
      <c r="D58" s="16"/>
      <c r="E58" s="16"/>
      <c r="F58" s="31"/>
      <c r="G58" s="31"/>
      <c r="H58" s="29"/>
      <c r="I58" s="1"/>
      <c r="J58" s="1"/>
      <c r="K58" s="16"/>
      <c r="L58" s="19"/>
      <c r="M58" s="16"/>
      <c r="N58" s="19"/>
      <c r="O58" s="19"/>
      <c r="P58" s="19"/>
    </row>
    <row r="59" spans="1:16" x14ac:dyDescent="0.35">
      <c r="A59" s="16">
        <v>16</v>
      </c>
      <c r="B59" s="32"/>
      <c r="C59" s="16"/>
      <c r="D59" s="16"/>
      <c r="E59" s="16"/>
      <c r="F59" s="31"/>
      <c r="G59" s="31"/>
      <c r="H59" s="29"/>
      <c r="I59" s="1"/>
      <c r="J59" s="1"/>
      <c r="K59" s="16"/>
      <c r="L59" s="19"/>
      <c r="M59" s="16"/>
      <c r="N59" s="19"/>
      <c r="O59" s="19"/>
      <c r="P59" s="19"/>
    </row>
    <row r="60" spans="1:16" x14ac:dyDescent="0.35">
      <c r="A60" s="16">
        <v>17</v>
      </c>
      <c r="B60" s="32"/>
      <c r="C60" s="16"/>
      <c r="D60" s="16"/>
      <c r="E60" s="16"/>
      <c r="F60" s="31"/>
      <c r="G60" s="31"/>
      <c r="H60" s="29"/>
      <c r="I60" s="1"/>
      <c r="J60" s="1"/>
      <c r="K60" s="16"/>
      <c r="L60" s="19"/>
      <c r="M60" s="16"/>
      <c r="N60" s="19"/>
      <c r="O60" s="19"/>
      <c r="P60" s="19"/>
    </row>
    <row r="61" spans="1:16" x14ac:dyDescent="0.35">
      <c r="A61" s="16">
        <v>18</v>
      </c>
      <c r="B61" s="32"/>
      <c r="C61" s="16"/>
      <c r="D61" s="16"/>
      <c r="E61" s="16"/>
      <c r="F61" s="31"/>
      <c r="G61" s="31"/>
      <c r="H61" s="29"/>
      <c r="I61" s="1"/>
      <c r="J61" s="1"/>
      <c r="K61" s="16"/>
      <c r="L61" s="19"/>
      <c r="M61" s="16"/>
      <c r="N61" s="19"/>
      <c r="O61" s="19"/>
      <c r="P61" s="19"/>
    </row>
    <row r="62" spans="1:16" x14ac:dyDescent="0.35">
      <c r="A62" s="16">
        <v>19</v>
      </c>
      <c r="B62" s="32"/>
      <c r="C62" s="16"/>
      <c r="D62" s="16"/>
      <c r="E62" s="16"/>
      <c r="F62" s="31"/>
      <c r="G62" s="31"/>
      <c r="H62" s="29"/>
      <c r="I62" s="1"/>
      <c r="J62" s="1"/>
      <c r="K62" s="16"/>
      <c r="L62" s="19"/>
      <c r="M62" s="16"/>
      <c r="N62" s="19"/>
      <c r="O62" s="19"/>
      <c r="P62" s="19"/>
    </row>
    <row r="63" spans="1:16" x14ac:dyDescent="0.35">
      <c r="A63" s="16">
        <v>20</v>
      </c>
      <c r="B63" s="32"/>
      <c r="C63" s="16"/>
      <c r="D63" s="16"/>
      <c r="E63" s="16"/>
      <c r="F63" s="31"/>
      <c r="G63" s="31"/>
      <c r="H63" s="29"/>
      <c r="I63" s="1"/>
      <c r="J63" s="1"/>
      <c r="K63" s="16"/>
      <c r="L63" s="19"/>
      <c r="M63" s="16"/>
      <c r="N63" s="19"/>
      <c r="O63" s="19"/>
      <c r="P63" s="19"/>
    </row>
    <row r="64" spans="1:16" x14ac:dyDescent="0.35">
      <c r="A64" s="16">
        <v>21</v>
      </c>
      <c r="B64" s="32"/>
      <c r="C64" s="16"/>
      <c r="D64" s="16"/>
      <c r="E64" s="16"/>
      <c r="F64" s="31"/>
      <c r="G64" s="31"/>
      <c r="H64" s="29"/>
      <c r="I64" s="1"/>
      <c r="J64" s="1"/>
      <c r="K64" s="16"/>
      <c r="L64" s="19"/>
      <c r="M64" s="16"/>
      <c r="N64" s="19"/>
      <c r="O64" s="19"/>
      <c r="P64" s="19"/>
    </row>
    <row r="65" spans="1:16" x14ac:dyDescent="0.35">
      <c r="A65" s="16">
        <v>22</v>
      </c>
      <c r="B65" s="32"/>
      <c r="C65" s="16"/>
      <c r="D65" s="16"/>
      <c r="E65" s="16"/>
      <c r="F65" s="31"/>
      <c r="G65" s="31"/>
      <c r="H65" s="29"/>
      <c r="I65" s="1"/>
      <c r="J65" s="1"/>
      <c r="K65" s="16"/>
      <c r="L65" s="19"/>
      <c r="M65" s="16"/>
      <c r="N65" s="19"/>
      <c r="O65" s="19"/>
      <c r="P65" s="19"/>
    </row>
    <row r="66" spans="1:16" ht="15.5" x14ac:dyDescent="0.35">
      <c r="A66" s="16">
        <v>23</v>
      </c>
      <c r="B66" s="32"/>
      <c r="C66" s="16"/>
      <c r="D66" s="33"/>
      <c r="E66" s="16"/>
      <c r="F66" s="31"/>
      <c r="G66" s="31"/>
      <c r="H66" s="29"/>
      <c r="I66" s="1"/>
      <c r="J66" s="1"/>
      <c r="K66" s="16"/>
      <c r="L66" s="19"/>
      <c r="M66" s="16"/>
      <c r="N66" s="19"/>
      <c r="O66" s="19"/>
      <c r="P66" s="19"/>
    </row>
    <row r="67" spans="1:16" ht="23.5" x14ac:dyDescent="0.35">
      <c r="A67" s="205">
        <v>45931</v>
      </c>
      <c r="B67" s="206"/>
      <c r="C67" s="206"/>
      <c r="D67" s="206"/>
      <c r="E67" s="207"/>
      <c r="F67" s="34"/>
      <c r="G67" s="34"/>
      <c r="H67" s="35">
        <v>5175500</v>
      </c>
      <c r="I67" s="1"/>
      <c r="J67" s="1"/>
      <c r="K67" s="205">
        <v>45931</v>
      </c>
      <c r="L67" s="206"/>
      <c r="M67" s="206"/>
      <c r="N67" s="206"/>
      <c r="O67" s="207"/>
      <c r="P67" s="22"/>
    </row>
    <row r="68" spans="1:16" x14ac:dyDescent="0.35">
      <c r="A68" s="16">
        <v>1</v>
      </c>
      <c r="B68" s="32"/>
      <c r="C68" s="12"/>
      <c r="D68" s="16"/>
      <c r="E68" s="16"/>
      <c r="F68" s="31"/>
      <c r="G68" s="31"/>
      <c r="H68" s="29"/>
      <c r="I68" s="1"/>
      <c r="J68" s="1"/>
      <c r="K68" s="16">
        <v>1</v>
      </c>
      <c r="L68" s="19"/>
      <c r="M68" s="16"/>
      <c r="N68" s="31"/>
      <c r="O68" s="19"/>
      <c r="P68" s="36"/>
    </row>
    <row r="69" spans="1:16" x14ac:dyDescent="0.35">
      <c r="A69" s="16">
        <v>2</v>
      </c>
      <c r="B69" s="32"/>
      <c r="C69" s="16"/>
      <c r="D69" s="16"/>
      <c r="E69" s="16"/>
      <c r="F69" s="31"/>
      <c r="G69" s="31"/>
      <c r="H69" s="29"/>
      <c r="I69" s="1"/>
      <c r="J69" s="1"/>
      <c r="K69" s="16">
        <v>2</v>
      </c>
      <c r="L69" s="19"/>
      <c r="M69" s="16"/>
      <c r="N69" s="31"/>
      <c r="O69" s="19"/>
      <c r="P69" s="36"/>
    </row>
    <row r="70" spans="1:16" x14ac:dyDescent="0.35">
      <c r="A70" s="16">
        <v>3</v>
      </c>
      <c r="B70" s="32"/>
      <c r="C70" s="16"/>
      <c r="D70" s="16"/>
      <c r="E70" s="16"/>
      <c r="F70" s="31"/>
      <c r="G70" s="31"/>
      <c r="H70" s="29"/>
      <c r="I70" s="1"/>
      <c r="J70" s="1"/>
      <c r="K70" s="37">
        <v>3</v>
      </c>
      <c r="L70" s="38"/>
      <c r="M70" s="37"/>
      <c r="N70" s="39"/>
      <c r="O70" s="38"/>
      <c r="P70" s="40"/>
    </row>
    <row r="71" spans="1:16" x14ac:dyDescent="0.35">
      <c r="A71" s="16">
        <v>4</v>
      </c>
      <c r="B71" s="32"/>
      <c r="C71" s="16"/>
      <c r="D71" s="16"/>
      <c r="E71" s="16"/>
      <c r="F71" s="31"/>
      <c r="G71" s="31"/>
      <c r="H71" s="29"/>
      <c r="I71" s="1"/>
      <c r="J71" s="1"/>
      <c r="K71" s="16">
        <v>4</v>
      </c>
      <c r="L71" s="19"/>
      <c r="M71" s="16"/>
      <c r="N71" s="31"/>
      <c r="O71" s="19"/>
      <c r="P71" s="36"/>
    </row>
    <row r="72" spans="1:16" x14ac:dyDescent="0.35">
      <c r="A72" s="16">
        <v>5</v>
      </c>
      <c r="B72" s="32"/>
      <c r="C72" s="16"/>
      <c r="D72" s="16"/>
      <c r="E72" s="16"/>
      <c r="F72" s="31"/>
      <c r="G72" s="31"/>
      <c r="H72" s="29"/>
      <c r="I72" s="1"/>
      <c r="J72" s="1"/>
      <c r="K72" s="16">
        <v>5</v>
      </c>
      <c r="L72" s="19"/>
      <c r="M72" s="16"/>
      <c r="N72" s="31"/>
      <c r="O72" s="19"/>
      <c r="P72" s="36"/>
    </row>
    <row r="73" spans="1:16" x14ac:dyDescent="0.35">
      <c r="A73" s="16">
        <v>6</v>
      </c>
      <c r="B73" s="32"/>
      <c r="C73" s="16"/>
      <c r="D73" s="16"/>
      <c r="E73" s="16"/>
      <c r="F73" s="31"/>
      <c r="G73" s="31"/>
      <c r="H73" s="29"/>
      <c r="I73" s="1"/>
      <c r="J73" s="1"/>
      <c r="K73" s="16">
        <v>6</v>
      </c>
      <c r="L73" s="19"/>
      <c r="M73" s="16"/>
      <c r="N73" s="31"/>
      <c r="O73" s="19"/>
      <c r="P73" s="36"/>
    </row>
    <row r="74" spans="1:16" x14ac:dyDescent="0.35">
      <c r="A74" s="16">
        <v>7</v>
      </c>
      <c r="B74" s="32"/>
      <c r="C74" s="16"/>
      <c r="D74" s="16"/>
      <c r="E74" s="16"/>
      <c r="F74" s="31"/>
      <c r="G74" s="31"/>
      <c r="H74" s="29"/>
      <c r="I74" s="1"/>
      <c r="J74" s="1"/>
      <c r="K74" s="16">
        <v>7</v>
      </c>
      <c r="L74" s="19"/>
      <c r="M74" s="16"/>
      <c r="N74" s="31"/>
      <c r="O74" s="19"/>
      <c r="P74" s="36"/>
    </row>
    <row r="75" spans="1:16" x14ac:dyDescent="0.35">
      <c r="A75" s="16">
        <v>8</v>
      </c>
      <c r="B75" s="32"/>
      <c r="C75" s="16"/>
      <c r="D75" s="16"/>
      <c r="E75" s="16"/>
      <c r="F75" s="31"/>
      <c r="G75" s="31"/>
      <c r="H75" s="29"/>
      <c r="I75" s="1"/>
      <c r="J75" s="1"/>
      <c r="K75" s="19"/>
      <c r="L75" s="19"/>
      <c r="M75" s="19"/>
      <c r="N75" s="19"/>
      <c r="O75" s="19"/>
      <c r="P75" s="19"/>
    </row>
    <row r="76" spans="1:16" x14ac:dyDescent="0.35">
      <c r="A76" s="16">
        <v>9</v>
      </c>
      <c r="B76" s="32"/>
      <c r="C76" s="16"/>
      <c r="D76" s="16"/>
      <c r="E76" s="16"/>
      <c r="F76" s="31"/>
      <c r="G76" s="31"/>
      <c r="H76" s="29"/>
      <c r="I76" s="1"/>
      <c r="J76" s="1"/>
      <c r="K76" s="16"/>
      <c r="L76" s="19"/>
      <c r="M76" s="16"/>
      <c r="N76" s="19"/>
      <c r="O76" s="19"/>
      <c r="P76" s="19"/>
    </row>
    <row r="77" spans="1:16" x14ac:dyDescent="0.35">
      <c r="A77" s="41">
        <v>10</v>
      </c>
      <c r="B77" s="42"/>
      <c r="C77" s="43"/>
      <c r="D77" s="43"/>
      <c r="E77" s="43"/>
      <c r="F77" s="44"/>
      <c r="G77" s="44"/>
      <c r="H77" s="45"/>
      <c r="I77" s="46"/>
      <c r="J77" s="46"/>
      <c r="K77" s="47"/>
      <c r="L77" s="47"/>
      <c r="M77" s="47"/>
      <c r="N77" s="47"/>
      <c r="O77" s="47"/>
      <c r="P77" s="47"/>
    </row>
    <row r="78" spans="1:16" x14ac:dyDescent="0.35">
      <c r="A78" s="16">
        <v>11</v>
      </c>
      <c r="B78" s="32"/>
      <c r="C78" s="16"/>
      <c r="D78" s="16"/>
      <c r="E78" s="16"/>
      <c r="F78" s="31"/>
      <c r="G78" s="31"/>
      <c r="H78" s="45"/>
      <c r="I78" s="1"/>
      <c r="J78" s="1"/>
      <c r="K78" s="16"/>
      <c r="L78" s="19"/>
      <c r="M78" s="16"/>
      <c r="N78" s="19"/>
      <c r="O78" s="19"/>
      <c r="P78" s="19"/>
    </row>
    <row r="79" spans="1:16" x14ac:dyDescent="0.35">
      <c r="A79" s="16">
        <v>12</v>
      </c>
      <c r="B79" s="32"/>
      <c r="C79" s="16"/>
      <c r="D79" s="16"/>
      <c r="E79" s="16"/>
      <c r="F79" s="31"/>
      <c r="G79" s="31"/>
      <c r="H79" s="45"/>
      <c r="I79" s="1"/>
      <c r="J79" s="1"/>
      <c r="K79" s="16"/>
      <c r="L79" s="19"/>
      <c r="M79" s="16"/>
      <c r="N79" s="19"/>
      <c r="O79" s="19"/>
      <c r="P79" s="19"/>
    </row>
    <row r="80" spans="1:16" x14ac:dyDescent="0.35">
      <c r="A80" s="16">
        <v>13</v>
      </c>
      <c r="B80" s="32"/>
      <c r="C80" s="16"/>
      <c r="D80" s="16"/>
      <c r="E80" s="16"/>
      <c r="F80" s="31"/>
      <c r="G80" s="31"/>
      <c r="H80" s="45"/>
      <c r="I80" s="1"/>
      <c r="J80" s="1"/>
      <c r="K80" s="16"/>
      <c r="L80" s="19"/>
      <c r="M80" s="16"/>
      <c r="N80" s="19"/>
      <c r="O80" s="19"/>
      <c r="P80" s="19"/>
    </row>
    <row r="81" spans="1:16" x14ac:dyDescent="0.35">
      <c r="A81" s="16">
        <v>14</v>
      </c>
      <c r="B81" s="32"/>
      <c r="C81" s="16"/>
      <c r="D81" s="16"/>
      <c r="E81" s="16"/>
      <c r="F81" s="31"/>
      <c r="G81" s="31"/>
      <c r="H81" s="45"/>
      <c r="I81" s="1"/>
      <c r="J81" s="1"/>
      <c r="K81" s="16"/>
      <c r="L81" s="19"/>
      <c r="M81" s="16"/>
      <c r="N81" s="19"/>
      <c r="O81" s="19"/>
      <c r="P81" s="19"/>
    </row>
    <row r="82" spans="1:16" x14ac:dyDescent="0.35">
      <c r="A82" s="16">
        <v>15</v>
      </c>
      <c r="B82" s="32"/>
      <c r="C82" s="16"/>
      <c r="D82" s="16"/>
      <c r="E82" s="16"/>
      <c r="F82" s="31"/>
      <c r="G82" s="31"/>
      <c r="H82" s="45"/>
      <c r="I82" s="1"/>
      <c r="J82" s="1"/>
      <c r="K82" s="16"/>
      <c r="L82" s="19"/>
      <c r="M82" s="16"/>
      <c r="N82" s="19"/>
      <c r="O82" s="19"/>
      <c r="P82" s="19"/>
    </row>
    <row r="83" spans="1:16" x14ac:dyDescent="0.35">
      <c r="A83" s="16">
        <v>16</v>
      </c>
      <c r="B83" s="32"/>
      <c r="C83" s="16"/>
      <c r="D83" s="16"/>
      <c r="E83" s="16"/>
      <c r="F83" s="31"/>
      <c r="G83" s="31"/>
      <c r="H83" s="45"/>
      <c r="I83" s="1"/>
      <c r="J83" s="1"/>
      <c r="K83" s="16"/>
      <c r="L83" s="19"/>
      <c r="M83" s="16"/>
      <c r="N83" s="19"/>
      <c r="O83" s="19"/>
      <c r="P83" s="19"/>
    </row>
    <row r="84" spans="1:16" x14ac:dyDescent="0.35">
      <c r="A84" s="17">
        <v>17</v>
      </c>
      <c r="B84" s="48"/>
      <c r="C84" s="17"/>
      <c r="D84" s="17"/>
      <c r="E84" s="17"/>
      <c r="F84" s="49"/>
      <c r="G84" s="49"/>
      <c r="H84" s="45"/>
      <c r="I84" s="1"/>
      <c r="J84" s="1"/>
      <c r="K84" s="16"/>
      <c r="L84" s="19"/>
      <c r="M84" s="16"/>
      <c r="N84" s="19"/>
      <c r="O84" s="19"/>
      <c r="P84" s="19"/>
    </row>
    <row r="85" spans="1:16" x14ac:dyDescent="0.35">
      <c r="A85" s="16">
        <v>18</v>
      </c>
      <c r="B85" s="48"/>
      <c r="C85" s="17"/>
      <c r="D85" s="17"/>
      <c r="E85" s="17"/>
      <c r="F85" s="49"/>
      <c r="G85" s="49"/>
      <c r="H85" s="45"/>
      <c r="I85" s="1"/>
      <c r="J85" s="1"/>
      <c r="K85" s="16"/>
      <c r="L85" s="19"/>
      <c r="M85" s="16"/>
      <c r="N85" s="19"/>
      <c r="O85" s="19"/>
      <c r="P85" s="19"/>
    </row>
    <row r="86" spans="1:16" x14ac:dyDescent="0.35">
      <c r="A86" s="17">
        <v>19</v>
      </c>
      <c r="B86" s="48"/>
      <c r="C86" s="17"/>
      <c r="D86" s="17"/>
      <c r="E86" s="17"/>
      <c r="F86" s="49"/>
      <c r="G86" s="49"/>
      <c r="H86" s="45"/>
      <c r="I86" s="1"/>
      <c r="J86" s="1"/>
      <c r="K86" s="16"/>
      <c r="L86" s="19"/>
      <c r="M86" s="16"/>
      <c r="N86" s="19"/>
      <c r="O86" s="19"/>
      <c r="P86" s="19"/>
    </row>
    <row r="87" spans="1:16" ht="15.5" x14ac:dyDescent="0.35">
      <c r="A87" s="16">
        <v>20</v>
      </c>
      <c r="B87" s="32"/>
      <c r="C87" s="16"/>
      <c r="D87" s="50"/>
      <c r="E87" s="51"/>
      <c r="F87" s="31"/>
      <c r="G87" s="31"/>
      <c r="H87" s="52"/>
      <c r="I87" s="1"/>
      <c r="J87" s="1"/>
      <c r="K87" s="16"/>
      <c r="L87" s="19"/>
      <c r="M87" s="16"/>
      <c r="N87" s="19"/>
      <c r="O87" s="19"/>
      <c r="P87" s="19"/>
    </row>
    <row r="88" spans="1:16" ht="23.5" x14ac:dyDescent="0.35">
      <c r="A88" s="205">
        <v>45962</v>
      </c>
      <c r="B88" s="206"/>
      <c r="C88" s="206"/>
      <c r="D88" s="206"/>
      <c r="E88" s="207"/>
      <c r="F88" s="53"/>
      <c r="G88" s="53"/>
      <c r="H88" s="54">
        <v>8747500</v>
      </c>
      <c r="I88" s="1"/>
      <c r="J88" s="1"/>
      <c r="K88" s="205">
        <v>45962</v>
      </c>
      <c r="L88" s="206"/>
      <c r="M88" s="206"/>
      <c r="N88" s="206"/>
      <c r="O88" s="207"/>
      <c r="P88" s="22"/>
    </row>
    <row r="89" spans="1:16" x14ac:dyDescent="0.35">
      <c r="A89" s="17">
        <v>1</v>
      </c>
      <c r="B89" s="48"/>
      <c r="C89" s="12"/>
      <c r="D89" s="16"/>
      <c r="E89" s="16"/>
      <c r="F89" s="31"/>
      <c r="G89" s="31"/>
      <c r="H89" s="45"/>
      <c r="I89" s="1"/>
      <c r="J89" s="1"/>
      <c r="K89" s="16">
        <v>1</v>
      </c>
      <c r="L89" s="19"/>
      <c r="M89" s="16"/>
      <c r="N89" s="31"/>
      <c r="O89" s="19"/>
      <c r="P89" s="19"/>
    </row>
    <row r="90" spans="1:16" x14ac:dyDescent="0.35">
      <c r="A90" s="17">
        <v>2</v>
      </c>
      <c r="B90" s="48"/>
      <c r="C90" s="17"/>
      <c r="D90" s="17"/>
      <c r="E90" s="17"/>
      <c r="F90" s="49"/>
      <c r="G90" s="49"/>
      <c r="H90" s="45"/>
      <c r="I90" s="1"/>
      <c r="J90" s="1"/>
      <c r="K90" s="16">
        <v>2</v>
      </c>
      <c r="L90" s="19"/>
      <c r="M90" s="16"/>
      <c r="N90" s="31"/>
      <c r="O90" s="19"/>
      <c r="P90" s="19"/>
    </row>
    <row r="91" spans="1:16" x14ac:dyDescent="0.35">
      <c r="A91" s="17">
        <v>3</v>
      </c>
      <c r="B91" s="48"/>
      <c r="C91" s="17"/>
      <c r="D91" s="17"/>
      <c r="E91" s="17"/>
      <c r="F91" s="49"/>
      <c r="G91" s="49"/>
      <c r="H91" s="45"/>
      <c r="I91" s="1"/>
      <c r="J91" s="1"/>
      <c r="K91" s="16">
        <v>3</v>
      </c>
      <c r="L91" s="19"/>
      <c r="M91" s="16"/>
      <c r="N91" s="31"/>
      <c r="O91" s="19"/>
      <c r="P91" s="19"/>
    </row>
    <row r="92" spans="1:16" x14ac:dyDescent="0.35">
      <c r="A92" s="16">
        <v>4</v>
      </c>
      <c r="B92" s="32"/>
      <c r="C92" s="16"/>
      <c r="D92" s="55"/>
      <c r="E92" s="19"/>
      <c r="F92" s="16"/>
      <c r="G92" s="31"/>
      <c r="H92" s="45"/>
      <c r="I92" s="1"/>
      <c r="J92" s="1"/>
      <c r="K92" s="16">
        <v>4</v>
      </c>
      <c r="L92" s="19"/>
      <c r="M92" s="16"/>
      <c r="N92" s="31"/>
      <c r="O92" s="19"/>
      <c r="P92" s="19"/>
    </row>
    <row r="93" spans="1:16" x14ac:dyDescent="0.35">
      <c r="A93" s="17">
        <v>4</v>
      </c>
      <c r="B93" s="48"/>
      <c r="C93" s="17"/>
      <c r="D93" s="17"/>
      <c r="E93" s="17"/>
      <c r="F93" s="49"/>
      <c r="G93" s="49"/>
      <c r="H93" s="45"/>
      <c r="I93" s="1"/>
      <c r="J93" s="1"/>
      <c r="K93" s="16">
        <v>5</v>
      </c>
      <c r="L93" s="19"/>
      <c r="M93" s="16"/>
      <c r="N93" s="31"/>
      <c r="O93" s="19"/>
      <c r="P93" s="19"/>
    </row>
    <row r="94" spans="1:16" x14ac:dyDescent="0.35">
      <c r="A94" s="16">
        <v>5</v>
      </c>
      <c r="B94" s="32"/>
      <c r="C94" s="16"/>
      <c r="D94" s="19"/>
      <c r="E94" s="56"/>
      <c r="F94" s="17"/>
      <c r="G94" s="49"/>
      <c r="H94" s="45"/>
      <c r="I94" s="1"/>
      <c r="J94" s="1"/>
      <c r="K94" s="16">
        <v>6</v>
      </c>
      <c r="L94" s="19"/>
      <c r="M94" s="16"/>
      <c r="N94" s="31"/>
      <c r="O94" s="19"/>
      <c r="P94" s="19"/>
    </row>
    <row r="95" spans="1:16" x14ac:dyDescent="0.35">
      <c r="A95" s="16">
        <v>6</v>
      </c>
      <c r="B95" s="32"/>
      <c r="C95" s="16"/>
      <c r="D95" s="55"/>
      <c r="E95" s="19"/>
      <c r="F95" s="16"/>
      <c r="G95" s="31"/>
      <c r="H95" s="45"/>
      <c r="I95" s="1"/>
      <c r="J95" s="1"/>
      <c r="K95" s="16">
        <v>7</v>
      </c>
      <c r="L95" s="19"/>
      <c r="M95" s="16"/>
      <c r="N95" s="31"/>
      <c r="O95" s="19"/>
      <c r="P95" s="19"/>
    </row>
    <row r="96" spans="1:16" x14ac:dyDescent="0.35">
      <c r="A96" s="16">
        <v>7</v>
      </c>
      <c r="B96" s="32"/>
      <c r="C96" s="16"/>
      <c r="D96" s="57"/>
      <c r="E96" s="16"/>
      <c r="F96" s="16"/>
      <c r="G96" s="31"/>
      <c r="H96" s="45"/>
      <c r="I96" s="1"/>
      <c r="J96" s="1"/>
      <c r="K96" s="16">
        <v>8</v>
      </c>
      <c r="L96" s="19"/>
      <c r="M96" s="16"/>
      <c r="N96" s="31"/>
      <c r="O96" s="19"/>
      <c r="P96" s="19"/>
    </row>
    <row r="97" spans="1:16" x14ac:dyDescent="0.35">
      <c r="A97" s="16">
        <v>8</v>
      </c>
      <c r="B97" s="32"/>
      <c r="C97" s="16"/>
      <c r="D97" s="57"/>
      <c r="E97" s="16"/>
      <c r="F97" s="16"/>
      <c r="G97" s="31"/>
      <c r="H97" s="45"/>
      <c r="I97" s="1"/>
      <c r="J97" s="1"/>
      <c r="K97" s="16">
        <v>9</v>
      </c>
      <c r="L97" s="19"/>
      <c r="M97" s="16"/>
      <c r="N97" s="31"/>
      <c r="O97" s="19"/>
      <c r="P97" s="19"/>
    </row>
    <row r="98" spans="1:16" x14ac:dyDescent="0.35">
      <c r="A98" s="16">
        <v>9</v>
      </c>
      <c r="B98" s="32"/>
      <c r="C98" s="16"/>
      <c r="D98" s="57"/>
      <c r="E98" s="16"/>
      <c r="F98" s="16"/>
      <c r="G98" s="31"/>
      <c r="H98" s="45"/>
      <c r="I98" s="1"/>
      <c r="J98" s="1"/>
      <c r="K98" s="16"/>
      <c r="L98" s="19"/>
      <c r="M98" s="16"/>
      <c r="N98" s="19"/>
      <c r="O98" s="19"/>
      <c r="P98" s="19"/>
    </row>
    <row r="99" spans="1:16" x14ac:dyDescent="0.35">
      <c r="A99" s="16">
        <v>10</v>
      </c>
      <c r="B99" s="32"/>
      <c r="C99" s="16"/>
      <c r="D99" s="57"/>
      <c r="E99" s="16"/>
      <c r="F99" s="16"/>
      <c r="G99" s="31"/>
      <c r="H99" s="45"/>
      <c r="I99" s="1"/>
      <c r="J99" s="1"/>
      <c r="K99" s="16"/>
      <c r="L99" s="19"/>
      <c r="M99" s="16"/>
      <c r="N99" s="19"/>
      <c r="O99" s="19"/>
      <c r="P99" s="19"/>
    </row>
    <row r="100" spans="1:16" x14ac:dyDescent="0.35">
      <c r="A100" s="16">
        <v>11</v>
      </c>
      <c r="B100" s="32"/>
      <c r="C100" s="16"/>
      <c r="D100" s="55"/>
      <c r="E100" s="19"/>
      <c r="F100" s="16"/>
      <c r="G100" s="31"/>
      <c r="H100" s="45"/>
      <c r="I100" s="1"/>
      <c r="J100" s="1"/>
      <c r="K100" s="16"/>
      <c r="L100" s="19"/>
      <c r="M100" s="16"/>
      <c r="N100" s="19"/>
      <c r="O100" s="19"/>
      <c r="P100" s="19"/>
    </row>
    <row r="101" spans="1:16" x14ac:dyDescent="0.35">
      <c r="A101" s="16">
        <v>12</v>
      </c>
      <c r="B101" s="32"/>
      <c r="C101" s="16"/>
      <c r="D101" s="57"/>
      <c r="E101" s="16"/>
      <c r="F101" s="16"/>
      <c r="G101" s="31"/>
      <c r="H101" s="45"/>
      <c r="I101" s="1"/>
      <c r="J101" s="1"/>
      <c r="K101" s="16"/>
      <c r="L101" s="19"/>
      <c r="M101" s="16"/>
      <c r="N101" s="19"/>
      <c r="O101" s="19"/>
      <c r="P101" s="19"/>
    </row>
    <row r="102" spans="1:16" x14ac:dyDescent="0.35">
      <c r="A102" s="16">
        <v>13</v>
      </c>
      <c r="B102" s="32"/>
      <c r="C102" s="16"/>
      <c r="D102" s="57"/>
      <c r="E102" s="16"/>
      <c r="F102" s="16"/>
      <c r="G102" s="31"/>
      <c r="H102" s="45"/>
      <c r="I102" s="1"/>
      <c r="J102" s="1"/>
      <c r="K102" s="16"/>
      <c r="L102" s="19"/>
      <c r="M102" s="16"/>
      <c r="N102" s="19"/>
      <c r="O102" s="19"/>
      <c r="P102" s="19"/>
    </row>
    <row r="103" spans="1:16" x14ac:dyDescent="0.35">
      <c r="A103" s="16">
        <v>14</v>
      </c>
      <c r="B103" s="32"/>
      <c r="C103" s="16"/>
      <c r="D103" s="57"/>
      <c r="E103" s="16"/>
      <c r="F103" s="16"/>
      <c r="G103" s="31"/>
      <c r="H103" s="45"/>
      <c r="I103" s="1"/>
      <c r="J103" s="1"/>
      <c r="K103" s="16"/>
      <c r="L103" s="19"/>
      <c r="M103" s="16"/>
      <c r="N103" s="19"/>
      <c r="O103" s="19"/>
      <c r="P103" s="19"/>
    </row>
    <row r="104" spans="1:16" x14ac:dyDescent="0.35">
      <c r="A104" s="16">
        <v>15</v>
      </c>
      <c r="B104" s="32"/>
      <c r="C104" s="16"/>
      <c r="D104" s="57"/>
      <c r="E104" s="16"/>
      <c r="F104" s="16"/>
      <c r="G104" s="31"/>
      <c r="H104" s="45"/>
      <c r="I104" s="1"/>
      <c r="J104" s="1"/>
      <c r="K104" s="16"/>
      <c r="L104" s="19"/>
      <c r="M104" s="16"/>
      <c r="N104" s="19"/>
      <c r="O104" s="19"/>
      <c r="P104" s="19"/>
    </row>
    <row r="105" spans="1:16" x14ac:dyDescent="0.35">
      <c r="A105" s="16">
        <v>16</v>
      </c>
      <c r="B105" s="32"/>
      <c r="C105" s="16"/>
      <c r="D105" s="57"/>
      <c r="E105" s="16"/>
      <c r="F105" s="16"/>
      <c r="G105" s="31"/>
      <c r="H105" s="45"/>
      <c r="I105" s="1"/>
      <c r="J105" s="1"/>
      <c r="K105" s="16"/>
      <c r="L105" s="19"/>
      <c r="M105" s="16"/>
      <c r="N105" s="19"/>
      <c r="O105" s="19"/>
      <c r="P105" s="19"/>
    </row>
    <row r="106" spans="1:16" x14ac:dyDescent="0.35">
      <c r="A106" s="16">
        <v>17</v>
      </c>
      <c r="B106" s="32"/>
      <c r="C106" s="16"/>
      <c r="D106" s="57"/>
      <c r="E106" s="16"/>
      <c r="F106" s="16"/>
      <c r="G106" s="31"/>
      <c r="H106" s="45"/>
      <c r="I106" s="1"/>
      <c r="J106" s="1"/>
      <c r="K106" s="16"/>
      <c r="L106" s="19"/>
      <c r="M106" s="16"/>
      <c r="N106" s="19"/>
      <c r="O106" s="19"/>
      <c r="P106" s="19"/>
    </row>
    <row r="107" spans="1:16" x14ac:dyDescent="0.35">
      <c r="A107" s="16">
        <v>18</v>
      </c>
      <c r="B107" s="32"/>
      <c r="C107" s="16"/>
      <c r="D107" s="57"/>
      <c r="E107" s="16"/>
      <c r="F107" s="31"/>
      <c r="G107" s="31"/>
      <c r="H107" s="45"/>
      <c r="I107" s="1"/>
      <c r="J107" s="1"/>
      <c r="K107" s="16"/>
      <c r="L107" s="19"/>
      <c r="M107" s="16"/>
      <c r="N107" s="19"/>
      <c r="O107" s="19"/>
      <c r="P107" s="19"/>
    </row>
    <row r="108" spans="1:16" x14ac:dyDescent="0.35">
      <c r="A108" s="16">
        <v>19</v>
      </c>
      <c r="B108" s="32"/>
      <c r="C108" s="16"/>
      <c r="D108" s="57"/>
      <c r="E108" s="16"/>
      <c r="F108" s="16"/>
      <c r="G108" s="31"/>
      <c r="H108" s="45"/>
      <c r="I108" s="1"/>
      <c r="J108" s="1"/>
      <c r="K108" s="16"/>
      <c r="L108" s="19"/>
      <c r="M108" s="16"/>
      <c r="N108" s="19"/>
      <c r="O108" s="19"/>
      <c r="P108" s="19"/>
    </row>
    <row r="109" spans="1:16" x14ac:dyDescent="0.35">
      <c r="A109" s="16">
        <v>20</v>
      </c>
      <c r="B109" s="32"/>
      <c r="C109" s="16"/>
      <c r="D109" s="57"/>
      <c r="E109" s="16"/>
      <c r="F109" s="16"/>
      <c r="G109" s="31"/>
      <c r="H109" s="45"/>
      <c r="I109" s="1"/>
      <c r="J109" s="1"/>
      <c r="K109" s="16"/>
      <c r="L109" s="19"/>
      <c r="M109" s="16"/>
      <c r="N109" s="19"/>
      <c r="O109" s="19"/>
      <c r="P109" s="19"/>
    </row>
    <row r="110" spans="1:16" x14ac:dyDescent="0.35">
      <c r="A110" s="16">
        <v>21</v>
      </c>
      <c r="B110" s="32"/>
      <c r="C110" s="16"/>
      <c r="D110" s="57"/>
      <c r="E110" s="16"/>
      <c r="F110" s="16"/>
      <c r="G110" s="31"/>
      <c r="H110" s="45"/>
      <c r="I110" s="1"/>
      <c r="J110" s="1"/>
      <c r="K110" s="16"/>
      <c r="L110" s="19"/>
      <c r="M110" s="16"/>
      <c r="N110" s="19"/>
      <c r="O110" s="19"/>
      <c r="P110" s="19"/>
    </row>
    <row r="111" spans="1:16" x14ac:dyDescent="0.35">
      <c r="A111" s="16">
        <v>22</v>
      </c>
      <c r="B111" s="32"/>
      <c r="C111" s="16"/>
      <c r="D111" s="16"/>
      <c r="E111" s="16"/>
      <c r="F111" s="31"/>
      <c r="G111" s="31"/>
      <c r="H111" s="45"/>
      <c r="I111" s="1"/>
      <c r="J111" s="1"/>
      <c r="K111" s="16"/>
      <c r="L111" s="19"/>
      <c r="M111" s="16"/>
      <c r="N111" s="19"/>
      <c r="O111" s="19"/>
      <c r="P111" s="19"/>
    </row>
    <row r="112" spans="1:16" x14ac:dyDescent="0.35">
      <c r="A112" s="16">
        <v>23</v>
      </c>
      <c r="B112" s="32"/>
      <c r="C112" s="16"/>
      <c r="D112" s="16"/>
      <c r="E112" s="16"/>
      <c r="F112" s="31"/>
      <c r="G112" s="31"/>
      <c r="H112" s="45"/>
      <c r="I112" s="1"/>
      <c r="J112" s="1"/>
      <c r="K112" s="16"/>
      <c r="L112" s="19"/>
      <c r="M112" s="16"/>
      <c r="N112" s="19"/>
      <c r="O112" s="19"/>
      <c r="P112" s="19"/>
    </row>
    <row r="113" spans="1:16" x14ac:dyDescent="0.35">
      <c r="A113" s="16">
        <v>24</v>
      </c>
      <c r="B113" s="32"/>
      <c r="C113" s="16"/>
      <c r="D113" s="16"/>
      <c r="E113" s="16"/>
      <c r="F113" s="31"/>
      <c r="G113" s="31"/>
      <c r="H113" s="45"/>
      <c r="I113" s="1"/>
      <c r="J113" s="1"/>
      <c r="K113" s="16"/>
      <c r="L113" s="19"/>
      <c r="M113" s="16"/>
      <c r="N113" s="19"/>
      <c r="O113" s="19"/>
      <c r="P113" s="19"/>
    </row>
    <row r="114" spans="1:16" x14ac:dyDescent="0.35">
      <c r="A114" s="16">
        <v>25</v>
      </c>
      <c r="B114" s="32"/>
      <c r="C114" s="16"/>
      <c r="D114" s="16"/>
      <c r="E114" s="16"/>
      <c r="F114" s="31"/>
      <c r="G114" s="31"/>
      <c r="H114" s="45"/>
      <c r="I114" s="1"/>
      <c r="J114" s="1"/>
      <c r="K114" s="16"/>
      <c r="L114" s="19"/>
      <c r="M114" s="16"/>
      <c r="N114" s="19"/>
      <c r="O114" s="19"/>
      <c r="P114" s="19"/>
    </row>
    <row r="115" spans="1:16" x14ac:dyDescent="0.35">
      <c r="A115" s="16">
        <v>26</v>
      </c>
      <c r="B115" s="32"/>
      <c r="C115" s="16"/>
      <c r="D115" s="16"/>
      <c r="E115" s="16"/>
      <c r="F115" s="31"/>
      <c r="G115" s="31"/>
      <c r="H115" s="45"/>
      <c r="I115" s="1"/>
      <c r="J115" s="1"/>
      <c r="K115" s="16"/>
      <c r="L115" s="19"/>
      <c r="M115" s="16"/>
      <c r="N115" s="19"/>
      <c r="O115" s="19"/>
      <c r="P115" s="19"/>
    </row>
    <row r="116" spans="1:16" x14ac:dyDescent="0.35">
      <c r="A116" s="16">
        <v>27</v>
      </c>
      <c r="B116" s="32"/>
      <c r="C116" s="16"/>
      <c r="D116" s="16"/>
      <c r="E116" s="16"/>
      <c r="F116" s="31"/>
      <c r="G116" s="31"/>
      <c r="H116" s="45"/>
      <c r="I116" s="1"/>
      <c r="J116" s="1"/>
      <c r="K116" s="16"/>
      <c r="L116" s="19"/>
      <c r="M116" s="16"/>
      <c r="N116" s="19"/>
      <c r="O116" s="19"/>
      <c r="P116" s="19"/>
    </row>
    <row r="117" spans="1:16" x14ac:dyDescent="0.35">
      <c r="A117" s="16">
        <v>28</v>
      </c>
      <c r="B117" s="32"/>
      <c r="C117" s="16"/>
      <c r="D117" s="16"/>
      <c r="E117" s="16"/>
      <c r="F117" s="31"/>
      <c r="G117" s="31"/>
      <c r="H117" s="45"/>
      <c r="I117" s="1"/>
      <c r="J117" s="1"/>
      <c r="K117" s="16"/>
      <c r="L117" s="19"/>
      <c r="M117" s="16"/>
      <c r="N117" s="19"/>
      <c r="O117" s="19"/>
      <c r="P117" s="19"/>
    </row>
    <row r="118" spans="1:16" x14ac:dyDescent="0.35">
      <c r="A118" s="16">
        <v>29</v>
      </c>
      <c r="B118" s="32"/>
      <c r="C118" s="16"/>
      <c r="D118" s="16"/>
      <c r="E118" s="16"/>
      <c r="F118" s="31"/>
      <c r="G118" s="31"/>
      <c r="H118" s="45"/>
      <c r="I118" s="1"/>
      <c r="J118" s="1"/>
      <c r="K118" s="16"/>
      <c r="L118" s="19"/>
      <c r="M118" s="16"/>
      <c r="N118" s="19"/>
      <c r="O118" s="19"/>
      <c r="P118" s="19"/>
    </row>
    <row r="119" spans="1:16" x14ac:dyDescent="0.35">
      <c r="A119" s="16">
        <v>30</v>
      </c>
      <c r="B119" s="32"/>
      <c r="C119" s="16"/>
      <c r="D119" s="16"/>
      <c r="E119" s="16"/>
      <c r="F119" s="31"/>
      <c r="G119" s="31"/>
      <c r="H119" s="45"/>
      <c r="I119" s="1"/>
      <c r="J119" s="1"/>
      <c r="K119" s="16"/>
      <c r="L119" s="19"/>
      <c r="M119" s="16"/>
      <c r="N119" s="19"/>
      <c r="O119" s="19"/>
      <c r="P119" s="19"/>
    </row>
    <row r="120" spans="1:16" x14ac:dyDescent="0.35">
      <c r="A120" s="16">
        <v>31</v>
      </c>
      <c r="B120" s="32"/>
      <c r="C120" s="16"/>
      <c r="D120" s="16"/>
      <c r="E120" s="16"/>
      <c r="F120" s="31"/>
      <c r="G120" s="31"/>
      <c r="H120" s="45"/>
      <c r="I120" s="1"/>
      <c r="J120" s="1"/>
      <c r="K120" s="16"/>
      <c r="L120" s="19"/>
      <c r="M120" s="16"/>
      <c r="N120" s="19"/>
      <c r="O120" s="19"/>
      <c r="P120" s="19"/>
    </row>
    <row r="121" spans="1:16" x14ac:dyDescent="0.35">
      <c r="A121" s="16">
        <v>32</v>
      </c>
      <c r="B121" s="32"/>
      <c r="C121" s="16"/>
      <c r="D121" s="16"/>
      <c r="E121" s="16"/>
      <c r="F121" s="31"/>
      <c r="G121" s="31"/>
      <c r="H121" s="45"/>
      <c r="I121" s="1"/>
      <c r="J121" s="1"/>
      <c r="K121" s="16"/>
      <c r="L121" s="19"/>
      <c r="M121" s="16"/>
      <c r="N121" s="19"/>
      <c r="O121" s="19"/>
      <c r="P121" s="19"/>
    </row>
    <row r="122" spans="1:16" ht="23.5" x14ac:dyDescent="0.35">
      <c r="A122" s="205">
        <v>45992</v>
      </c>
      <c r="B122" s="206"/>
      <c r="C122" s="206"/>
      <c r="D122" s="206"/>
      <c r="E122" s="207"/>
      <c r="F122" s="34"/>
      <c r="G122" s="34"/>
      <c r="H122" s="54">
        <v>9942000</v>
      </c>
      <c r="I122" s="1"/>
      <c r="J122" s="1"/>
      <c r="K122" s="205">
        <v>45992</v>
      </c>
      <c r="L122" s="206"/>
      <c r="M122" s="206"/>
      <c r="N122" s="206"/>
      <c r="O122" s="207"/>
      <c r="P122" s="22"/>
    </row>
    <row r="123" spans="1:16" x14ac:dyDescent="0.35">
      <c r="A123" s="28">
        <v>1</v>
      </c>
      <c r="B123" s="58"/>
      <c r="C123" s="23"/>
      <c r="D123" s="28"/>
      <c r="E123" s="28"/>
      <c r="F123" s="29"/>
      <c r="G123" s="29"/>
      <c r="H123" s="45"/>
      <c r="I123" s="5"/>
      <c r="J123" s="5"/>
      <c r="K123" s="28">
        <v>1</v>
      </c>
      <c r="L123" s="59"/>
      <c r="M123" s="28"/>
      <c r="N123" s="29"/>
      <c r="O123" s="59"/>
      <c r="P123" s="60"/>
    </row>
    <row r="124" spans="1:16" x14ac:dyDescent="0.35">
      <c r="A124" s="16">
        <v>2</v>
      </c>
      <c r="B124" s="32"/>
      <c r="C124" s="12"/>
      <c r="D124" s="16"/>
      <c r="E124" s="16"/>
      <c r="F124" s="31"/>
      <c r="G124" s="31"/>
      <c r="H124" s="45"/>
      <c r="I124" s="1"/>
      <c r="J124" s="1"/>
      <c r="K124" s="16">
        <v>2</v>
      </c>
      <c r="L124" s="19"/>
      <c r="M124" s="16"/>
      <c r="N124" s="31"/>
      <c r="O124" s="19"/>
      <c r="P124" s="61"/>
    </row>
    <row r="125" spans="1:16" x14ac:dyDescent="0.35">
      <c r="A125" s="16">
        <v>3</v>
      </c>
      <c r="B125" s="32"/>
      <c r="C125" s="17"/>
      <c r="D125" s="16"/>
      <c r="E125" s="16"/>
      <c r="F125" s="31"/>
      <c r="G125" s="31"/>
      <c r="H125" s="45"/>
      <c r="I125" s="1"/>
      <c r="J125" s="1"/>
      <c r="K125" s="16">
        <v>3</v>
      </c>
      <c r="L125" s="19"/>
      <c r="M125" s="16"/>
      <c r="N125" s="31"/>
      <c r="O125" s="19"/>
      <c r="P125" s="61"/>
    </row>
    <row r="126" spans="1:16" x14ac:dyDescent="0.35">
      <c r="A126" s="16">
        <v>4</v>
      </c>
      <c r="B126" s="32"/>
      <c r="C126" s="16"/>
      <c r="D126" s="16"/>
      <c r="E126" s="16"/>
      <c r="F126" s="31"/>
      <c r="G126" s="31"/>
      <c r="H126" s="45"/>
      <c r="I126" s="1"/>
      <c r="J126" s="1"/>
      <c r="K126" s="16">
        <v>4</v>
      </c>
      <c r="L126" s="19"/>
      <c r="M126" s="16"/>
      <c r="N126" s="31"/>
      <c r="O126" s="19"/>
      <c r="P126" s="61"/>
    </row>
    <row r="127" spans="1:16" x14ac:dyDescent="0.35">
      <c r="A127" s="16">
        <v>5</v>
      </c>
      <c r="B127" s="32"/>
      <c r="C127" s="16"/>
      <c r="D127" s="16"/>
      <c r="E127" s="16"/>
      <c r="F127" s="31"/>
      <c r="G127" s="31"/>
      <c r="H127" s="45"/>
      <c r="I127" s="1"/>
      <c r="J127" s="1"/>
      <c r="K127" s="16">
        <v>5</v>
      </c>
      <c r="L127" s="19"/>
      <c r="M127" s="37"/>
      <c r="N127" s="39"/>
      <c r="O127" s="19"/>
      <c r="P127" s="61"/>
    </row>
    <row r="128" spans="1:16" x14ac:dyDescent="0.35">
      <c r="A128" s="16">
        <v>6</v>
      </c>
      <c r="B128" s="32"/>
      <c r="C128" s="16"/>
      <c r="D128" s="16"/>
      <c r="E128" s="16"/>
      <c r="F128" s="31"/>
      <c r="G128" s="31"/>
      <c r="H128" s="45"/>
      <c r="I128" s="1"/>
      <c r="J128" s="1"/>
      <c r="K128" s="19"/>
      <c r="L128" s="19"/>
      <c r="M128" s="19"/>
      <c r="N128" s="19"/>
      <c r="O128" s="19"/>
      <c r="P128" s="19"/>
    </row>
    <row r="129" spans="1:16" x14ac:dyDescent="0.35">
      <c r="A129" s="16">
        <v>7</v>
      </c>
      <c r="B129" s="32"/>
      <c r="C129" s="16"/>
      <c r="D129" s="16"/>
      <c r="E129" s="16"/>
      <c r="F129" s="31"/>
      <c r="G129" s="31"/>
      <c r="H129" s="45"/>
      <c r="I129" s="1"/>
      <c r="J129" s="1"/>
      <c r="K129" s="16"/>
      <c r="L129" s="19"/>
      <c r="M129" s="16"/>
      <c r="N129" s="31"/>
      <c r="O129" s="19"/>
      <c r="P129" s="19"/>
    </row>
    <row r="130" spans="1:16" x14ac:dyDescent="0.35">
      <c r="A130" s="16">
        <v>8</v>
      </c>
      <c r="B130" s="32"/>
      <c r="C130" s="16"/>
      <c r="D130" s="16"/>
      <c r="E130" s="16"/>
      <c r="F130" s="31"/>
      <c r="G130" s="31"/>
      <c r="H130" s="45"/>
      <c r="I130" s="1"/>
      <c r="J130" s="1"/>
      <c r="K130" s="16"/>
      <c r="L130" s="19"/>
      <c r="M130" s="16"/>
      <c r="N130" s="31"/>
      <c r="O130" s="19"/>
      <c r="P130" s="19"/>
    </row>
    <row r="131" spans="1:16" x14ac:dyDescent="0.35">
      <c r="A131" s="16">
        <v>9</v>
      </c>
      <c r="B131" s="32"/>
      <c r="C131" s="16"/>
      <c r="D131" s="16"/>
      <c r="E131" s="16"/>
      <c r="F131" s="31"/>
      <c r="G131" s="31"/>
      <c r="H131" s="45"/>
      <c r="I131" s="1"/>
      <c r="J131" s="1"/>
      <c r="K131" s="16"/>
      <c r="L131" s="19"/>
      <c r="M131" s="16"/>
      <c r="N131" s="31"/>
      <c r="O131" s="19"/>
      <c r="P131" s="19"/>
    </row>
    <row r="132" spans="1:16" x14ac:dyDescent="0.35">
      <c r="A132" s="16">
        <v>10</v>
      </c>
      <c r="B132" s="32"/>
      <c r="C132" s="16"/>
      <c r="D132" s="16"/>
      <c r="E132" s="16"/>
      <c r="F132" s="31"/>
      <c r="G132" s="31"/>
      <c r="H132" s="45"/>
      <c r="I132" s="1"/>
      <c r="J132" s="1"/>
      <c r="K132" s="16"/>
      <c r="L132" s="19"/>
      <c r="M132" s="16"/>
      <c r="N132" s="31"/>
      <c r="O132" s="19"/>
      <c r="P132" s="19"/>
    </row>
    <row r="133" spans="1:16" x14ac:dyDescent="0.35">
      <c r="A133" s="16">
        <v>11</v>
      </c>
      <c r="B133" s="32"/>
      <c r="C133" s="16"/>
      <c r="D133" s="16"/>
      <c r="E133" s="16"/>
      <c r="F133" s="31"/>
      <c r="G133" s="31"/>
      <c r="H133" s="45"/>
      <c r="I133" s="1"/>
      <c r="J133" s="1"/>
      <c r="K133" s="16"/>
      <c r="L133" s="19"/>
      <c r="M133" s="16"/>
      <c r="N133" s="31"/>
      <c r="O133" s="19"/>
      <c r="P133" s="19"/>
    </row>
    <row r="134" spans="1:16" x14ac:dyDescent="0.35">
      <c r="A134" s="16">
        <v>12</v>
      </c>
      <c r="B134" s="32"/>
      <c r="C134" s="16"/>
      <c r="D134" s="16"/>
      <c r="E134" s="16"/>
      <c r="F134" s="31"/>
      <c r="G134" s="31"/>
      <c r="H134" s="45"/>
      <c r="I134" s="1"/>
      <c r="J134" s="1"/>
      <c r="K134" s="16"/>
      <c r="L134" s="19"/>
      <c r="M134" s="16"/>
      <c r="N134" s="31"/>
      <c r="O134" s="19"/>
      <c r="P134" s="19"/>
    </row>
    <row r="135" spans="1:16" x14ac:dyDescent="0.35">
      <c r="A135" s="16">
        <v>13</v>
      </c>
      <c r="B135" s="32"/>
      <c r="C135" s="16"/>
      <c r="D135" s="16"/>
      <c r="E135" s="16"/>
      <c r="F135" s="31"/>
      <c r="G135" s="31"/>
      <c r="H135" s="45"/>
      <c r="I135" s="1"/>
      <c r="J135" s="1"/>
      <c r="K135" s="16"/>
      <c r="L135" s="19"/>
      <c r="M135" s="16"/>
      <c r="N135" s="31"/>
      <c r="O135" s="19"/>
      <c r="P135" s="19"/>
    </row>
    <row r="136" spans="1:16" x14ac:dyDescent="0.35">
      <c r="A136" s="16">
        <v>14</v>
      </c>
      <c r="B136" s="32"/>
      <c r="C136" s="16"/>
      <c r="D136" s="16"/>
      <c r="E136" s="16"/>
      <c r="F136" s="31"/>
      <c r="G136" s="31"/>
      <c r="H136" s="45"/>
      <c r="I136" s="1"/>
      <c r="J136" s="1"/>
      <c r="K136" s="16"/>
      <c r="L136" s="19"/>
      <c r="M136" s="16"/>
      <c r="N136" s="31"/>
      <c r="O136" s="19"/>
      <c r="P136" s="19"/>
    </row>
    <row r="137" spans="1:16" x14ac:dyDescent="0.35">
      <c r="A137" s="16">
        <v>15</v>
      </c>
      <c r="B137" s="32"/>
      <c r="C137" s="16"/>
      <c r="D137" s="16"/>
      <c r="E137" s="16"/>
      <c r="F137" s="31"/>
      <c r="G137" s="31"/>
      <c r="H137" s="45"/>
      <c r="I137" s="1"/>
      <c r="J137" s="1"/>
      <c r="K137" s="16"/>
      <c r="L137" s="19"/>
      <c r="M137" s="16"/>
      <c r="N137" s="31"/>
      <c r="O137" s="19"/>
      <c r="P137" s="19"/>
    </row>
    <row r="138" spans="1:16" x14ac:dyDescent="0.35">
      <c r="A138" s="16">
        <v>16</v>
      </c>
      <c r="B138" s="32"/>
      <c r="C138" s="16"/>
      <c r="D138" s="16"/>
      <c r="E138" s="16"/>
      <c r="F138" s="31"/>
      <c r="G138" s="31"/>
      <c r="H138" s="45"/>
      <c r="I138" s="1"/>
      <c r="J138" s="1"/>
      <c r="K138" s="16"/>
      <c r="L138" s="19"/>
      <c r="M138" s="16"/>
      <c r="N138" s="31"/>
      <c r="O138" s="19"/>
      <c r="P138" s="19"/>
    </row>
    <row r="139" spans="1:16" x14ac:dyDescent="0.35">
      <c r="A139" s="16">
        <v>17</v>
      </c>
      <c r="B139" s="32"/>
      <c r="C139" s="16"/>
      <c r="D139" s="16"/>
      <c r="E139" s="16"/>
      <c r="F139" s="31"/>
      <c r="G139" s="31"/>
      <c r="H139" s="45"/>
      <c r="I139" s="1"/>
      <c r="J139" s="1"/>
      <c r="K139" s="16"/>
      <c r="L139" s="19"/>
      <c r="M139" s="16"/>
      <c r="N139" s="31"/>
      <c r="O139" s="19"/>
      <c r="P139" s="19"/>
    </row>
    <row r="140" spans="1:16" x14ac:dyDescent="0.35">
      <c r="A140" s="16">
        <v>18</v>
      </c>
      <c r="B140" s="32"/>
      <c r="C140" s="16"/>
      <c r="D140" s="16"/>
      <c r="E140" s="16"/>
      <c r="F140" s="31"/>
      <c r="G140" s="31"/>
      <c r="H140" s="45"/>
      <c r="I140" s="1"/>
      <c r="J140" s="1"/>
      <c r="K140" s="16"/>
      <c r="L140" s="19"/>
      <c r="M140" s="16"/>
      <c r="N140" s="31"/>
      <c r="O140" s="19"/>
      <c r="P140" s="19"/>
    </row>
    <row r="141" spans="1:16" x14ac:dyDescent="0.35">
      <c r="A141" s="16">
        <v>18</v>
      </c>
      <c r="B141" s="32"/>
      <c r="C141" s="16"/>
      <c r="D141" s="16"/>
      <c r="E141" s="16"/>
      <c r="F141" s="31"/>
      <c r="G141" s="31"/>
      <c r="H141" s="45"/>
      <c r="I141" s="1"/>
      <c r="J141" s="1"/>
      <c r="K141" s="16"/>
      <c r="L141" s="19"/>
      <c r="M141" s="16"/>
      <c r="N141" s="31"/>
      <c r="O141" s="19"/>
      <c r="P141" s="19"/>
    </row>
    <row r="142" spans="1:16" x14ac:dyDescent="0.35">
      <c r="A142" s="16">
        <v>19</v>
      </c>
      <c r="B142" s="32"/>
      <c r="C142" s="16"/>
      <c r="D142" s="16"/>
      <c r="E142" s="16"/>
      <c r="F142" s="31"/>
      <c r="G142" s="31"/>
      <c r="H142" s="45"/>
      <c r="I142" s="1"/>
      <c r="J142" s="1"/>
      <c r="K142" s="16"/>
      <c r="L142" s="19"/>
      <c r="M142" s="16"/>
      <c r="N142" s="31"/>
      <c r="O142" s="19"/>
      <c r="P142" s="19"/>
    </row>
    <row r="143" spans="1:16" x14ac:dyDescent="0.35">
      <c r="A143" s="16">
        <v>20</v>
      </c>
      <c r="B143" s="32"/>
      <c r="C143" s="16"/>
      <c r="D143" s="16"/>
      <c r="E143" s="16"/>
      <c r="F143" s="31"/>
      <c r="G143" s="31"/>
      <c r="H143" s="45"/>
      <c r="I143" s="1"/>
      <c r="J143" s="1"/>
      <c r="K143" s="16"/>
      <c r="L143" s="19"/>
      <c r="M143" s="16"/>
      <c r="N143" s="31"/>
      <c r="O143" s="19"/>
      <c r="P143" s="19"/>
    </row>
    <row r="144" spans="1:16" x14ac:dyDescent="0.35">
      <c r="A144" s="16">
        <v>21</v>
      </c>
      <c r="B144" s="32"/>
      <c r="C144" s="16"/>
      <c r="D144" s="16"/>
      <c r="E144" s="16"/>
      <c r="F144" s="31"/>
      <c r="G144" s="31"/>
      <c r="H144" s="45"/>
      <c r="I144" s="1"/>
      <c r="J144" s="1"/>
      <c r="K144" s="16"/>
      <c r="L144" s="19"/>
      <c r="M144" s="16"/>
      <c r="N144" s="31"/>
      <c r="O144" s="19"/>
      <c r="P144" s="19"/>
    </row>
    <row r="145" spans="1:16" x14ac:dyDescent="0.35">
      <c r="A145" s="16">
        <v>22</v>
      </c>
      <c r="B145" s="32"/>
      <c r="C145" s="16"/>
      <c r="D145" s="16"/>
      <c r="E145" s="16"/>
      <c r="F145" s="31"/>
      <c r="G145" s="31"/>
      <c r="H145" s="45"/>
      <c r="I145" s="1"/>
      <c r="J145" s="1"/>
      <c r="K145" s="16"/>
      <c r="L145" s="19"/>
      <c r="M145" s="16"/>
      <c r="N145" s="31"/>
      <c r="O145" s="19"/>
      <c r="P145" s="19"/>
    </row>
    <row r="146" spans="1:16" x14ac:dyDescent="0.35">
      <c r="A146" s="62">
        <v>23</v>
      </c>
      <c r="B146" s="63"/>
      <c r="C146" s="64"/>
      <c r="D146" s="64"/>
      <c r="E146" s="62"/>
      <c r="F146" s="65"/>
      <c r="G146" s="65"/>
      <c r="H146" s="66"/>
      <c r="I146" s="1"/>
      <c r="J146" s="1"/>
      <c r="K146" s="16"/>
      <c r="L146" s="19"/>
      <c r="M146" s="16"/>
      <c r="N146" s="31"/>
      <c r="O146" s="19"/>
      <c r="P146" s="19"/>
    </row>
    <row r="147" spans="1:16" x14ac:dyDescent="0.35">
      <c r="A147" s="62">
        <v>24</v>
      </c>
      <c r="B147" s="63"/>
      <c r="C147" s="64"/>
      <c r="D147" s="64"/>
      <c r="E147" s="62"/>
      <c r="F147" s="65"/>
      <c r="G147" s="65"/>
      <c r="H147" s="66"/>
      <c r="I147" s="1"/>
      <c r="J147" s="1"/>
      <c r="K147" s="16"/>
      <c r="L147" s="19"/>
      <c r="M147" s="16"/>
      <c r="N147" s="19"/>
      <c r="O147" s="19"/>
      <c r="P147" s="19"/>
    </row>
    <row r="148" spans="1:16" x14ac:dyDescent="0.35">
      <c r="A148" s="16">
        <v>25</v>
      </c>
      <c r="B148" s="32"/>
      <c r="C148" s="16"/>
      <c r="D148" s="16"/>
      <c r="E148" s="16"/>
      <c r="F148" s="31"/>
      <c r="G148" s="31"/>
      <c r="H148" s="45"/>
      <c r="I148" s="1"/>
      <c r="J148" s="1"/>
      <c r="K148" s="16"/>
      <c r="L148" s="19"/>
      <c r="M148" s="16"/>
      <c r="N148" s="31"/>
      <c r="O148" s="19"/>
      <c r="P148" s="19"/>
    </row>
    <row r="149" spans="1:16" ht="23.5" x14ac:dyDescent="0.35">
      <c r="A149" s="205">
        <v>46023</v>
      </c>
      <c r="B149" s="206"/>
      <c r="C149" s="206"/>
      <c r="D149" s="206"/>
      <c r="E149" s="207"/>
      <c r="F149" s="34"/>
      <c r="G149" s="34"/>
      <c r="H149" s="54">
        <v>9542500</v>
      </c>
      <c r="I149" s="1"/>
      <c r="J149" s="1"/>
      <c r="K149" s="205">
        <v>46023</v>
      </c>
      <c r="L149" s="206"/>
      <c r="M149" s="206"/>
      <c r="N149" s="206"/>
      <c r="O149" s="207"/>
      <c r="P149" s="22"/>
    </row>
    <row r="150" spans="1:16" x14ac:dyDescent="0.35">
      <c r="A150" s="28">
        <v>1</v>
      </c>
      <c r="B150" s="58"/>
      <c r="C150" s="23"/>
      <c r="D150" s="28"/>
      <c r="E150" s="28"/>
      <c r="F150" s="29"/>
      <c r="G150" s="29"/>
      <c r="H150" s="45"/>
      <c r="I150" s="1"/>
      <c r="J150" s="1"/>
      <c r="K150" s="16">
        <v>1</v>
      </c>
      <c r="L150" s="19"/>
      <c r="M150" s="16"/>
      <c r="N150" s="31"/>
      <c r="O150" s="19"/>
      <c r="P150" s="19"/>
    </row>
    <row r="151" spans="1:16" x14ac:dyDescent="0.35">
      <c r="A151" s="16">
        <v>2</v>
      </c>
      <c r="B151" s="32"/>
      <c r="C151" s="12"/>
      <c r="D151" s="16"/>
      <c r="E151" s="16"/>
      <c r="F151" s="31"/>
      <c r="G151" s="31"/>
      <c r="H151" s="45"/>
      <c r="I151" s="1"/>
      <c r="J151" s="1"/>
      <c r="K151" s="67">
        <v>2</v>
      </c>
      <c r="L151" s="68"/>
      <c r="M151" s="67"/>
      <c r="N151" s="69"/>
      <c r="O151" s="68"/>
      <c r="P151" s="70"/>
    </row>
    <row r="152" spans="1:16" x14ac:dyDescent="0.35">
      <c r="A152" s="16">
        <v>3</v>
      </c>
      <c r="B152" s="32"/>
      <c r="C152" s="17"/>
      <c r="D152" s="16"/>
      <c r="E152" s="16"/>
      <c r="F152" s="31"/>
      <c r="G152" s="31"/>
      <c r="H152" s="45"/>
      <c r="I152" s="1"/>
      <c r="J152" s="1"/>
      <c r="K152" s="67">
        <v>3</v>
      </c>
      <c r="L152" s="68"/>
      <c r="M152" s="67"/>
      <c r="N152" s="69"/>
      <c r="O152" s="68"/>
      <c r="P152" s="70"/>
    </row>
    <row r="153" spans="1:16" x14ac:dyDescent="0.35">
      <c r="A153" s="16">
        <v>4</v>
      </c>
      <c r="B153" s="32"/>
      <c r="C153" s="16"/>
      <c r="D153" s="16"/>
      <c r="E153" s="16"/>
      <c r="F153" s="31"/>
      <c r="G153" s="31"/>
      <c r="H153" s="45"/>
      <c r="I153" s="1"/>
      <c r="J153" s="1"/>
      <c r="K153" s="71">
        <v>4</v>
      </c>
      <c r="L153" s="72"/>
      <c r="M153" s="71"/>
      <c r="N153" s="73"/>
      <c r="O153" s="72"/>
      <c r="P153" s="72"/>
    </row>
    <row r="154" spans="1:16" x14ac:dyDescent="0.35">
      <c r="A154" s="16">
        <v>5</v>
      </c>
      <c r="B154" s="32"/>
      <c r="C154" s="16"/>
      <c r="D154" s="16"/>
      <c r="E154" s="16"/>
      <c r="F154" s="31"/>
      <c r="G154" s="31"/>
      <c r="H154" s="45"/>
      <c r="I154" s="1"/>
      <c r="J154" s="1"/>
      <c r="K154" s="71">
        <v>5</v>
      </c>
      <c r="L154" s="72"/>
      <c r="M154" s="71"/>
      <c r="N154" s="73"/>
      <c r="O154" s="72"/>
      <c r="P154" s="72"/>
    </row>
    <row r="155" spans="1:16" x14ac:dyDescent="0.35">
      <c r="A155" s="16">
        <v>6</v>
      </c>
      <c r="B155" s="32"/>
      <c r="C155" s="16"/>
      <c r="D155" s="16"/>
      <c r="E155" s="16"/>
      <c r="F155" s="31"/>
      <c r="G155" s="31"/>
      <c r="H155" s="45"/>
      <c r="I155" s="1"/>
      <c r="J155" s="1"/>
      <c r="K155" s="71">
        <v>6</v>
      </c>
      <c r="L155" s="72"/>
      <c r="M155" s="71"/>
      <c r="N155" s="73"/>
      <c r="O155" s="72"/>
      <c r="P155" s="72"/>
    </row>
    <row r="156" spans="1:16" x14ac:dyDescent="0.35">
      <c r="A156" s="16">
        <v>7</v>
      </c>
      <c r="B156" s="32"/>
      <c r="C156" s="16"/>
      <c r="D156" s="16"/>
      <c r="E156" s="16"/>
      <c r="F156" s="31"/>
      <c r="G156" s="31"/>
      <c r="H156" s="45"/>
      <c r="I156" s="1"/>
      <c r="J156" s="1"/>
      <c r="K156" s="71">
        <v>7</v>
      </c>
      <c r="L156" s="72"/>
      <c r="M156" s="71"/>
      <c r="N156" s="73"/>
      <c r="O156" s="72"/>
      <c r="P156" s="72"/>
    </row>
    <row r="157" spans="1:16" x14ac:dyDescent="0.35">
      <c r="A157" s="16">
        <v>8</v>
      </c>
      <c r="B157" s="32"/>
      <c r="C157" s="16"/>
      <c r="D157" s="16"/>
      <c r="E157" s="16"/>
      <c r="F157" s="31"/>
      <c r="G157" s="31"/>
      <c r="H157" s="45"/>
      <c r="I157" s="1"/>
      <c r="J157" s="1"/>
      <c r="K157" s="71">
        <v>8</v>
      </c>
      <c r="L157" s="72"/>
      <c r="M157" s="71"/>
      <c r="N157" s="73"/>
      <c r="O157" s="72"/>
      <c r="P157" s="72"/>
    </row>
    <row r="158" spans="1:16" x14ac:dyDescent="0.35">
      <c r="A158" s="16">
        <v>9</v>
      </c>
      <c r="B158" s="32"/>
      <c r="C158" s="16"/>
      <c r="D158" s="16"/>
      <c r="E158" s="16"/>
      <c r="F158" s="31"/>
      <c r="G158" s="31"/>
      <c r="H158" s="45"/>
      <c r="I158" s="1"/>
      <c r="J158" s="1"/>
      <c r="K158" s="62">
        <v>9</v>
      </c>
      <c r="L158" s="74"/>
      <c r="M158" s="71"/>
      <c r="N158" s="73"/>
      <c r="O158" s="72"/>
      <c r="P158" s="70"/>
    </row>
    <row r="159" spans="1:16" x14ac:dyDescent="0.35">
      <c r="A159" s="16">
        <v>10</v>
      </c>
      <c r="B159" s="32"/>
      <c r="C159" s="16"/>
      <c r="D159" s="16"/>
      <c r="E159" s="16"/>
      <c r="F159" s="31"/>
      <c r="G159" s="31"/>
      <c r="H159" s="45"/>
      <c r="I159" s="1"/>
      <c r="J159" s="1"/>
      <c r="K159" s="62">
        <v>10</v>
      </c>
      <c r="L159" s="74"/>
      <c r="M159" s="71"/>
      <c r="N159" s="73"/>
      <c r="O159" s="72"/>
      <c r="P159" s="70"/>
    </row>
    <row r="160" spans="1:16" x14ac:dyDescent="0.35">
      <c r="A160" s="16">
        <v>11</v>
      </c>
      <c r="B160" s="32"/>
      <c r="C160" s="16"/>
      <c r="D160" s="16"/>
      <c r="E160" s="16"/>
      <c r="F160" s="31"/>
      <c r="G160" s="31"/>
      <c r="H160" s="45"/>
      <c r="I160" s="1"/>
      <c r="J160" s="1"/>
      <c r="K160" s="67">
        <v>11</v>
      </c>
      <c r="L160" s="68"/>
      <c r="M160" s="67"/>
      <c r="N160" s="69"/>
      <c r="O160" s="68"/>
      <c r="P160" s="70"/>
    </row>
    <row r="161" spans="1:16" x14ac:dyDescent="0.35">
      <c r="A161" s="16">
        <v>12</v>
      </c>
      <c r="B161" s="32"/>
      <c r="C161" s="16"/>
      <c r="D161" s="16"/>
      <c r="E161" s="16"/>
      <c r="F161" s="31"/>
      <c r="G161" s="31"/>
      <c r="H161" s="45"/>
      <c r="I161" s="1"/>
      <c r="J161" s="1"/>
      <c r="K161" s="16">
        <v>12</v>
      </c>
      <c r="L161" s="19"/>
      <c r="M161" s="16"/>
      <c r="N161" s="31"/>
      <c r="O161" s="19"/>
      <c r="P161" s="19"/>
    </row>
    <row r="162" spans="1:16" x14ac:dyDescent="0.35">
      <c r="A162" s="16">
        <v>13</v>
      </c>
      <c r="B162" s="32"/>
      <c r="C162" s="16"/>
      <c r="D162" s="16"/>
      <c r="E162" s="16"/>
      <c r="F162" s="31"/>
      <c r="G162" s="31"/>
      <c r="H162" s="45"/>
      <c r="I162" s="1"/>
      <c r="J162" s="1"/>
      <c r="K162" s="16">
        <v>13</v>
      </c>
      <c r="L162" s="19"/>
      <c r="M162" s="16"/>
      <c r="N162" s="31"/>
      <c r="O162" s="19"/>
      <c r="P162" s="19"/>
    </row>
    <row r="163" spans="1:16" x14ac:dyDescent="0.35">
      <c r="A163" s="16">
        <v>14</v>
      </c>
      <c r="B163" s="32"/>
      <c r="C163" s="16"/>
      <c r="D163" s="16"/>
      <c r="E163" s="16"/>
      <c r="F163" s="31"/>
      <c r="G163" s="31"/>
      <c r="H163" s="45"/>
      <c r="I163" s="1"/>
      <c r="J163" s="1"/>
      <c r="K163" s="16">
        <v>14</v>
      </c>
      <c r="L163" s="19"/>
      <c r="M163" s="16"/>
      <c r="N163" s="31"/>
      <c r="O163" s="19"/>
      <c r="P163" s="19"/>
    </row>
    <row r="164" spans="1:16" x14ac:dyDescent="0.35">
      <c r="A164" s="16">
        <v>15</v>
      </c>
      <c r="B164" s="32"/>
      <c r="C164" s="16"/>
      <c r="D164" s="16"/>
      <c r="E164" s="16"/>
      <c r="F164" s="31"/>
      <c r="G164" s="31"/>
      <c r="H164" s="45"/>
      <c r="I164" s="1"/>
      <c r="J164" s="1"/>
      <c r="K164" s="16">
        <v>15</v>
      </c>
      <c r="L164" s="19"/>
      <c r="M164" s="16"/>
      <c r="N164" s="31"/>
      <c r="O164" s="19"/>
      <c r="P164" s="19"/>
    </row>
    <row r="165" spans="1:16" x14ac:dyDescent="0.35">
      <c r="A165" s="16">
        <v>16</v>
      </c>
      <c r="B165" s="32"/>
      <c r="C165" s="16"/>
      <c r="D165" s="16"/>
      <c r="E165" s="16"/>
      <c r="F165" s="31"/>
      <c r="G165" s="31"/>
      <c r="H165" s="45"/>
      <c r="I165" s="1"/>
      <c r="J165" s="1"/>
      <c r="K165" s="16">
        <v>16</v>
      </c>
      <c r="L165" s="19"/>
      <c r="M165" s="16"/>
      <c r="N165" s="31"/>
      <c r="O165" s="19"/>
      <c r="P165" s="19"/>
    </row>
    <row r="166" spans="1:16" x14ac:dyDescent="0.35">
      <c r="A166" s="16">
        <v>17</v>
      </c>
      <c r="B166" s="32"/>
      <c r="C166" s="16"/>
      <c r="D166" s="16"/>
      <c r="E166" s="16"/>
      <c r="F166" s="31"/>
      <c r="G166" s="31"/>
      <c r="H166" s="45"/>
      <c r="I166" s="1"/>
      <c r="J166" s="1"/>
      <c r="K166" s="16">
        <v>17</v>
      </c>
      <c r="L166" s="19"/>
      <c r="M166" s="16"/>
      <c r="N166" s="31"/>
      <c r="O166" s="19"/>
      <c r="P166" s="19"/>
    </row>
    <row r="167" spans="1:16" x14ac:dyDescent="0.35">
      <c r="A167" s="16">
        <v>18</v>
      </c>
      <c r="B167" s="32"/>
      <c r="C167" s="16"/>
      <c r="D167" s="16"/>
      <c r="E167" s="16"/>
      <c r="F167" s="31"/>
      <c r="G167" s="31"/>
      <c r="H167" s="45"/>
      <c r="I167" s="1"/>
      <c r="J167" s="1"/>
      <c r="K167" s="16">
        <v>18</v>
      </c>
      <c r="L167" s="19"/>
      <c r="M167" s="16"/>
      <c r="N167" s="31"/>
      <c r="O167" s="19"/>
      <c r="P167" s="19"/>
    </row>
    <row r="168" spans="1:16" x14ac:dyDescent="0.35">
      <c r="A168" s="16">
        <v>19</v>
      </c>
      <c r="B168" s="32"/>
      <c r="C168" s="16"/>
      <c r="D168" s="16"/>
      <c r="E168" s="16"/>
      <c r="F168" s="31"/>
      <c r="G168" s="31"/>
      <c r="H168" s="45"/>
      <c r="I168" s="1"/>
      <c r="J168" s="1"/>
      <c r="K168" s="16"/>
      <c r="L168" s="19"/>
      <c r="M168" s="16"/>
      <c r="N168" s="19"/>
      <c r="O168" s="19"/>
      <c r="P168" s="19"/>
    </row>
    <row r="169" spans="1:16" x14ac:dyDescent="0.35">
      <c r="A169" s="16">
        <v>20</v>
      </c>
      <c r="B169" s="32"/>
      <c r="C169" s="16"/>
      <c r="D169" s="16"/>
      <c r="E169" s="16"/>
      <c r="F169" s="31"/>
      <c r="G169" s="31"/>
      <c r="H169" s="45"/>
      <c r="I169" s="1"/>
      <c r="J169" s="1"/>
      <c r="K169" s="16"/>
      <c r="L169" s="19"/>
      <c r="M169" s="16"/>
      <c r="N169" s="19"/>
      <c r="O169" s="19"/>
      <c r="P169" s="19"/>
    </row>
    <row r="170" spans="1:16" x14ac:dyDescent="0.35">
      <c r="A170" s="16">
        <v>21</v>
      </c>
      <c r="B170" s="32"/>
      <c r="C170" s="16"/>
      <c r="D170" s="16"/>
      <c r="E170" s="16"/>
      <c r="F170" s="31"/>
      <c r="G170" s="31"/>
      <c r="H170" s="45"/>
      <c r="I170" s="1"/>
      <c r="J170" s="1"/>
      <c r="K170" s="16"/>
      <c r="L170" s="19"/>
      <c r="M170" s="16"/>
      <c r="N170" s="19"/>
      <c r="O170" s="19"/>
      <c r="P170" s="19"/>
    </row>
    <row r="171" spans="1:16" x14ac:dyDescent="0.35">
      <c r="A171" s="16">
        <v>22</v>
      </c>
      <c r="B171" s="32"/>
      <c r="C171" s="16"/>
      <c r="D171" s="16"/>
      <c r="E171" s="16"/>
      <c r="F171" s="31"/>
      <c r="G171" s="31"/>
      <c r="H171" s="45"/>
      <c r="I171" s="1"/>
      <c r="J171" s="1"/>
      <c r="K171" s="16"/>
      <c r="L171" s="19"/>
      <c r="M171" s="16"/>
      <c r="N171" s="19"/>
      <c r="O171" s="19"/>
      <c r="P171" s="19"/>
    </row>
    <row r="172" spans="1:16" x14ac:dyDescent="0.35">
      <c r="A172" s="16">
        <v>22</v>
      </c>
      <c r="B172" s="32"/>
      <c r="C172" s="16"/>
      <c r="D172" s="16"/>
      <c r="E172" s="16"/>
      <c r="F172" s="31"/>
      <c r="G172" s="31"/>
      <c r="H172" s="45"/>
      <c r="I172" s="1"/>
      <c r="J172" s="1"/>
      <c r="K172" s="16"/>
      <c r="L172" s="19"/>
      <c r="M172" s="16"/>
      <c r="N172" s="19"/>
      <c r="O172" s="19"/>
      <c r="P172" s="19"/>
    </row>
    <row r="173" spans="1:16" x14ac:dyDescent="0.35">
      <c r="A173" s="16">
        <v>22</v>
      </c>
      <c r="B173" s="32"/>
      <c r="C173" s="16"/>
      <c r="D173" s="16"/>
      <c r="E173" s="16"/>
      <c r="F173" s="31"/>
      <c r="G173" s="31"/>
      <c r="H173" s="45"/>
      <c r="I173" s="1"/>
      <c r="J173" s="1"/>
      <c r="K173" s="16"/>
      <c r="L173" s="19"/>
      <c r="M173" s="16"/>
      <c r="N173" s="19"/>
      <c r="O173" s="19"/>
      <c r="P173" s="19"/>
    </row>
    <row r="174" spans="1:16" x14ac:dyDescent="0.35">
      <c r="A174" s="16">
        <v>22</v>
      </c>
      <c r="B174" s="32"/>
      <c r="C174" s="16"/>
      <c r="D174" s="16"/>
      <c r="E174" s="16"/>
      <c r="F174" s="31"/>
      <c r="G174" s="31"/>
      <c r="H174" s="45"/>
      <c r="I174" s="1"/>
      <c r="J174" s="1"/>
      <c r="K174" s="16"/>
      <c r="L174" s="19"/>
      <c r="M174" s="16"/>
      <c r="N174" s="19"/>
      <c r="O174" s="19"/>
      <c r="P174" s="19"/>
    </row>
    <row r="175" spans="1:16" x14ac:dyDescent="0.35">
      <c r="A175" s="16">
        <v>22</v>
      </c>
      <c r="B175" s="32"/>
      <c r="C175" s="16"/>
      <c r="D175" s="16"/>
      <c r="E175" s="16"/>
      <c r="F175" s="31"/>
      <c r="G175" s="31"/>
      <c r="H175" s="45"/>
      <c r="I175" s="1"/>
      <c r="J175" s="1"/>
      <c r="K175" s="16"/>
      <c r="L175" s="19"/>
      <c r="M175" s="16"/>
      <c r="N175" s="19"/>
      <c r="O175" s="19"/>
      <c r="P175" s="19"/>
    </row>
    <row r="176" spans="1:16" x14ac:dyDescent="0.35">
      <c r="A176" s="16">
        <v>22</v>
      </c>
      <c r="B176" s="32"/>
      <c r="C176" s="16"/>
      <c r="D176" s="16"/>
      <c r="E176" s="16"/>
      <c r="F176" s="31"/>
      <c r="G176" s="31"/>
      <c r="H176" s="45"/>
      <c r="I176" s="1"/>
      <c r="J176" s="1"/>
      <c r="K176" s="16"/>
      <c r="L176" s="19"/>
      <c r="M176" s="16"/>
      <c r="N176" s="19"/>
      <c r="O176" s="19"/>
      <c r="P176" s="19"/>
    </row>
    <row r="177" spans="1:16" x14ac:dyDescent="0.35">
      <c r="A177" s="16">
        <v>22</v>
      </c>
      <c r="B177" s="32"/>
      <c r="C177" s="16"/>
      <c r="D177" s="16"/>
      <c r="E177" s="16"/>
      <c r="F177" s="31"/>
      <c r="G177" s="31"/>
      <c r="H177" s="45"/>
      <c r="I177" s="1"/>
      <c r="J177" s="1"/>
      <c r="K177" s="16"/>
      <c r="L177" s="19"/>
      <c r="M177" s="16"/>
      <c r="N177" s="19"/>
      <c r="O177" s="19"/>
      <c r="P177" s="19"/>
    </row>
    <row r="178" spans="1:16" x14ac:dyDescent="0.35">
      <c r="A178" s="16">
        <v>22</v>
      </c>
      <c r="B178" s="32"/>
      <c r="C178" s="16"/>
      <c r="D178" s="16"/>
      <c r="E178" s="16"/>
      <c r="F178" s="31"/>
      <c r="G178" s="31"/>
      <c r="H178" s="45"/>
      <c r="I178" s="1"/>
      <c r="J178" s="1"/>
      <c r="K178" s="16"/>
      <c r="L178" s="19"/>
      <c r="M178" s="16"/>
      <c r="N178" s="19"/>
      <c r="O178" s="19"/>
      <c r="P178" s="19"/>
    </row>
    <row r="179" spans="1:16" x14ac:dyDescent="0.35">
      <c r="A179" s="16">
        <v>22</v>
      </c>
      <c r="B179" s="32"/>
      <c r="C179" s="16"/>
      <c r="D179" s="16"/>
      <c r="E179" s="16"/>
      <c r="F179" s="31"/>
      <c r="G179" s="31"/>
      <c r="H179" s="45"/>
      <c r="I179" s="1"/>
      <c r="J179" s="1"/>
      <c r="K179" s="16"/>
      <c r="L179" s="19"/>
      <c r="M179" s="16"/>
      <c r="N179" s="19"/>
      <c r="O179" s="19"/>
      <c r="P179" s="19"/>
    </row>
    <row r="180" spans="1:16" x14ac:dyDescent="0.35">
      <c r="A180" s="16">
        <v>22</v>
      </c>
      <c r="B180" s="32"/>
      <c r="C180" s="16"/>
      <c r="D180" s="16"/>
      <c r="E180" s="16"/>
      <c r="F180" s="31"/>
      <c r="G180" s="31"/>
      <c r="H180" s="45"/>
      <c r="I180" s="1"/>
      <c r="J180" s="1"/>
      <c r="K180" s="16"/>
      <c r="L180" s="19"/>
      <c r="M180" s="16"/>
      <c r="N180" s="19"/>
      <c r="O180" s="19"/>
      <c r="P180" s="19"/>
    </row>
    <row r="181" spans="1:16" x14ac:dyDescent="0.35">
      <c r="A181" s="16">
        <v>22</v>
      </c>
      <c r="B181" s="32"/>
      <c r="C181" s="16"/>
      <c r="D181" s="16"/>
      <c r="E181" s="16"/>
      <c r="F181" s="31"/>
      <c r="G181" s="31"/>
      <c r="H181" s="45"/>
      <c r="I181" s="1"/>
      <c r="J181" s="1"/>
      <c r="K181" s="16"/>
      <c r="L181" s="19"/>
      <c r="M181" s="16"/>
      <c r="N181" s="19"/>
      <c r="O181" s="19"/>
      <c r="P181" s="19"/>
    </row>
    <row r="182" spans="1:16" x14ac:dyDescent="0.35">
      <c r="A182" s="16">
        <v>22</v>
      </c>
      <c r="B182" s="32"/>
      <c r="C182" s="16"/>
      <c r="D182" s="16"/>
      <c r="E182" s="16"/>
      <c r="F182" s="31"/>
      <c r="G182" s="31"/>
      <c r="H182" s="45"/>
      <c r="I182" s="1"/>
      <c r="J182" s="1"/>
      <c r="K182" s="16"/>
      <c r="L182" s="19"/>
      <c r="M182" s="16"/>
      <c r="N182" s="19"/>
      <c r="O182" s="19"/>
      <c r="P182" s="19"/>
    </row>
    <row r="183" spans="1:16" x14ac:dyDescent="0.35">
      <c r="A183" s="1"/>
      <c r="B183" s="3"/>
      <c r="C183" s="1"/>
      <c r="D183" s="1"/>
      <c r="E183" s="1"/>
      <c r="F183" s="4"/>
      <c r="G183" s="4"/>
      <c r="H183" s="5"/>
      <c r="I183" s="1"/>
      <c r="J183" s="1"/>
      <c r="K183" s="4"/>
      <c r="L183" s="1"/>
      <c r="M183" s="4"/>
      <c r="N183" s="1"/>
      <c r="O183" s="1"/>
      <c r="P183" s="1"/>
    </row>
  </sheetData>
  <mergeCells count="12">
    <mergeCell ref="A27:G27"/>
    <mergeCell ref="K27:O27"/>
    <mergeCell ref="A44:E44"/>
    <mergeCell ref="K44:O44"/>
    <mergeCell ref="A67:E67"/>
    <mergeCell ref="K67:O67"/>
    <mergeCell ref="A88:E88"/>
    <mergeCell ref="A122:E122"/>
    <mergeCell ref="K122:O122"/>
    <mergeCell ref="A149:E149"/>
    <mergeCell ref="K149:O149"/>
    <mergeCell ref="K88:O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39FB-F9E0-4EDC-80E8-9F4B1C7244D3}">
  <dimension ref="A1:W150"/>
  <sheetViews>
    <sheetView topLeftCell="A59" zoomScale="77" zoomScaleNormal="58" workbookViewId="0">
      <selection activeCell="A135" sqref="A135"/>
    </sheetView>
  </sheetViews>
  <sheetFormatPr defaultColWidth="9.1796875" defaultRowHeight="14.5" x14ac:dyDescent="0.35"/>
  <cols>
    <col min="1" max="1" width="9.1796875" style="157"/>
    <col min="2" max="2" width="22.26953125" style="157" customWidth="1"/>
    <col min="3" max="3" width="17.26953125" style="157" customWidth="1"/>
    <col min="4" max="4" width="33.1796875" style="157" customWidth="1"/>
    <col min="5" max="5" width="25.1796875" style="157" customWidth="1"/>
    <col min="6" max="6" width="14.54296875" style="157" customWidth="1"/>
    <col min="7" max="7" width="9.1796875" style="157"/>
    <col min="8" max="8" width="25.1796875" style="157" customWidth="1"/>
    <col min="9" max="16384" width="9.1796875" style="157"/>
  </cols>
  <sheetData>
    <row r="1" spans="1:23" ht="72.5" x14ac:dyDescent="0.35">
      <c r="A1" s="75" t="s">
        <v>2</v>
      </c>
      <c r="B1" s="75" t="s">
        <v>269</v>
      </c>
      <c r="C1" s="76" t="s">
        <v>11</v>
      </c>
      <c r="D1" s="77" t="s">
        <v>16</v>
      </c>
      <c r="E1" s="78" t="s">
        <v>17</v>
      </c>
      <c r="F1" s="78" t="s">
        <v>17</v>
      </c>
      <c r="G1" s="78" t="s">
        <v>17</v>
      </c>
      <c r="H1" s="79" t="s">
        <v>17</v>
      </c>
      <c r="I1" s="79" t="s">
        <v>17</v>
      </c>
      <c r="J1" s="79" t="s">
        <v>17</v>
      </c>
      <c r="K1" s="80" t="s">
        <v>17</v>
      </c>
      <c r="L1" s="80" t="s">
        <v>17</v>
      </c>
      <c r="M1" s="80" t="s">
        <v>17</v>
      </c>
      <c r="N1" s="81" t="s">
        <v>17</v>
      </c>
      <c r="O1" s="81" t="s">
        <v>17</v>
      </c>
      <c r="P1" s="81" t="s">
        <v>17</v>
      </c>
      <c r="Q1" s="82" t="s">
        <v>17</v>
      </c>
      <c r="R1" s="82" t="s">
        <v>17</v>
      </c>
      <c r="S1" s="82" t="s">
        <v>17</v>
      </c>
      <c r="T1" s="83" t="s">
        <v>17</v>
      </c>
      <c r="U1" s="83" t="s">
        <v>17</v>
      </c>
      <c r="V1" s="83" t="s">
        <v>17</v>
      </c>
      <c r="W1" s="84" t="s">
        <v>18</v>
      </c>
    </row>
    <row r="2" spans="1:23" x14ac:dyDescent="0.35">
      <c r="A2" s="85"/>
      <c r="B2" s="85"/>
      <c r="C2" s="85"/>
      <c r="D2" s="86" t="s">
        <v>124</v>
      </c>
      <c r="E2" s="200" t="s">
        <v>125</v>
      </c>
      <c r="F2" s="198"/>
      <c r="G2" s="199"/>
      <c r="H2" s="201" t="s">
        <v>19</v>
      </c>
      <c r="I2" s="198"/>
      <c r="J2" s="199"/>
      <c r="K2" s="202" t="s">
        <v>126</v>
      </c>
      <c r="L2" s="198"/>
      <c r="M2" s="199"/>
      <c r="N2" s="203" t="s">
        <v>20</v>
      </c>
      <c r="O2" s="198"/>
      <c r="P2" s="199"/>
      <c r="Q2" s="204" t="s">
        <v>23</v>
      </c>
      <c r="R2" s="198"/>
      <c r="S2" s="199"/>
      <c r="T2" s="197" t="s">
        <v>24</v>
      </c>
      <c r="U2" s="198"/>
      <c r="V2" s="199"/>
      <c r="W2" s="87"/>
    </row>
    <row r="3" spans="1:23" ht="21" x14ac:dyDescent="0.35">
      <c r="A3" s="88"/>
      <c r="B3" s="88"/>
      <c r="C3" s="88"/>
      <c r="D3" s="86"/>
      <c r="E3" s="89" t="s">
        <v>21</v>
      </c>
      <c r="F3" s="90" t="s">
        <v>315</v>
      </c>
      <c r="G3" s="91" t="s">
        <v>15</v>
      </c>
      <c r="H3" s="92" t="s">
        <v>21</v>
      </c>
      <c r="I3" s="93" t="s">
        <v>315</v>
      </c>
      <c r="J3" s="94" t="s">
        <v>15</v>
      </c>
      <c r="K3" s="95" t="s">
        <v>21</v>
      </c>
      <c r="L3" s="96" t="s">
        <v>22</v>
      </c>
      <c r="M3" s="97" t="s">
        <v>15</v>
      </c>
      <c r="N3" s="98" t="s">
        <v>21</v>
      </c>
      <c r="O3" s="99" t="s">
        <v>22</v>
      </c>
      <c r="P3" s="100" t="s">
        <v>15</v>
      </c>
      <c r="Q3" s="101" t="s">
        <v>21</v>
      </c>
      <c r="R3" s="102" t="s">
        <v>22</v>
      </c>
      <c r="S3" s="103" t="s">
        <v>15</v>
      </c>
      <c r="T3" s="104" t="s">
        <v>21</v>
      </c>
      <c r="U3" s="105" t="s">
        <v>22</v>
      </c>
      <c r="V3" s="106" t="s">
        <v>15</v>
      </c>
      <c r="W3" s="107"/>
    </row>
    <row r="4" spans="1:23" ht="15.5" x14ac:dyDescent="0.35">
      <c r="A4" s="115">
        <v>1</v>
      </c>
      <c r="B4" s="116" t="str">
        <f>IFERROR(VLOOKUP(C4,'DAFTAR NAMA PRAMUDI'!C:D,2,FALSE),"0")</f>
        <v>A Sutriadi</v>
      </c>
      <c r="C4" s="117">
        <v>17001137</v>
      </c>
      <c r="D4" s="118"/>
      <c r="E4" s="118" t="s">
        <v>175</v>
      </c>
      <c r="F4" s="118">
        <v>1</v>
      </c>
      <c r="G4" s="118"/>
      <c r="H4" s="118"/>
      <c r="I4" s="118">
        <v>0</v>
      </c>
      <c r="J4" s="118"/>
      <c r="K4" s="26"/>
      <c r="L4" s="26"/>
      <c r="M4" s="26"/>
      <c r="N4" s="26"/>
      <c r="O4" s="26"/>
      <c r="P4" s="26"/>
      <c r="Q4" s="26">
        <v>1</v>
      </c>
      <c r="R4" s="26"/>
      <c r="S4" s="26"/>
      <c r="T4" s="26"/>
      <c r="U4" s="26"/>
      <c r="V4" s="26"/>
      <c r="W4" s="119"/>
    </row>
    <row r="5" spans="1:23" ht="39" x14ac:dyDescent="0.35">
      <c r="A5" s="120">
        <v>2</v>
      </c>
      <c r="B5" s="116" t="str">
        <f>IFERROR(VLOOKUP(C5,'DAFTAR NAMA PRAMUDI'!C:D,2,FALSE),"0")</f>
        <v>Abdul Rochman</v>
      </c>
      <c r="C5" s="121">
        <v>17001342</v>
      </c>
      <c r="D5" s="122"/>
      <c r="E5" s="123" t="s">
        <v>267</v>
      </c>
      <c r="F5" s="123">
        <v>2</v>
      </c>
      <c r="G5" s="123"/>
      <c r="H5" s="123"/>
      <c r="I5" s="123">
        <v>0</v>
      </c>
      <c r="J5" s="123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5"/>
    </row>
    <row r="6" spans="1:23" ht="15.5" x14ac:dyDescent="0.35">
      <c r="A6" s="126">
        <v>3</v>
      </c>
      <c r="B6" s="116" t="str">
        <f>IFERROR(VLOOKUP(C6,'DAFTAR NAMA PRAMUDI'!C:D,2,FALSE),"0")</f>
        <v>Ade Muhibudin</v>
      </c>
      <c r="C6" s="127">
        <v>17000495</v>
      </c>
      <c r="D6" s="123" t="s">
        <v>174</v>
      </c>
      <c r="E6" s="123"/>
      <c r="F6" s="123">
        <v>0</v>
      </c>
      <c r="G6" s="123"/>
      <c r="H6" s="123"/>
      <c r="I6" s="123">
        <v>0</v>
      </c>
      <c r="J6" s="123"/>
      <c r="K6" s="124"/>
      <c r="L6" s="124"/>
      <c r="M6" s="124"/>
      <c r="N6" s="124"/>
      <c r="O6" s="124"/>
      <c r="P6" s="124"/>
      <c r="Q6" s="124">
        <v>1</v>
      </c>
      <c r="R6" s="124"/>
      <c r="S6" s="124"/>
      <c r="T6" s="124"/>
      <c r="U6" s="124"/>
      <c r="V6" s="124"/>
      <c r="W6" s="125"/>
    </row>
    <row r="7" spans="1:23" ht="26" x14ac:dyDescent="0.35">
      <c r="A7" s="128">
        <v>4</v>
      </c>
      <c r="B7" s="116" t="str">
        <f>IFERROR(VLOOKUP(C7,'DAFTAR NAMA PRAMUDI'!C:D,2,FALSE),"0")</f>
        <v>Ade Tisna</v>
      </c>
      <c r="C7" s="129">
        <v>17000537</v>
      </c>
      <c r="D7" s="123"/>
      <c r="E7" s="123" t="s">
        <v>210</v>
      </c>
      <c r="F7" s="123">
        <v>1</v>
      </c>
      <c r="G7" s="123"/>
      <c r="H7" s="123"/>
      <c r="I7" s="123">
        <v>0</v>
      </c>
      <c r="J7" s="123"/>
      <c r="K7" s="124"/>
      <c r="L7" s="124"/>
      <c r="M7" s="124"/>
      <c r="N7" s="124"/>
      <c r="O7" s="124"/>
      <c r="P7" s="124"/>
      <c r="Q7" s="124">
        <v>1</v>
      </c>
      <c r="R7" s="124"/>
      <c r="S7" s="124"/>
      <c r="T7" s="124"/>
      <c r="U7" s="124"/>
      <c r="V7" s="124"/>
      <c r="W7" s="125"/>
    </row>
    <row r="8" spans="1:23" ht="78" x14ac:dyDescent="0.35">
      <c r="A8" s="126">
        <v>5</v>
      </c>
      <c r="B8" s="116" t="str">
        <f>IFERROR(VLOOKUP(C8,'DAFTAR NAMA PRAMUDI'!C:D,2,FALSE),"0")</f>
        <v>Afrizal Firmansyah</v>
      </c>
      <c r="C8" s="130">
        <v>17001589</v>
      </c>
      <c r="D8" s="123" t="s">
        <v>159</v>
      </c>
      <c r="E8" s="123" t="s">
        <v>221</v>
      </c>
      <c r="F8" s="123">
        <v>2</v>
      </c>
      <c r="G8" s="123" t="s">
        <v>228</v>
      </c>
      <c r="H8" s="123"/>
      <c r="I8" s="123">
        <v>0</v>
      </c>
      <c r="J8" s="123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5"/>
    </row>
    <row r="9" spans="1:23" ht="15.5" x14ac:dyDescent="0.35">
      <c r="A9" s="120">
        <v>6</v>
      </c>
      <c r="B9" s="116" t="str">
        <f>IFERROR(VLOOKUP(C9,'DAFTAR NAMA PRAMUDI'!C:D,2,FALSE),"0")</f>
        <v>Agus Hariyanto</v>
      </c>
      <c r="C9" s="121">
        <v>17001473</v>
      </c>
      <c r="D9" s="123" t="s">
        <v>170</v>
      </c>
      <c r="E9" s="123"/>
      <c r="F9" s="123"/>
      <c r="G9" s="123"/>
      <c r="H9" s="123"/>
      <c r="I9" s="123">
        <v>0</v>
      </c>
      <c r="J9" s="123"/>
      <c r="K9" s="124"/>
      <c r="L9" s="124"/>
      <c r="M9" s="124"/>
      <c r="N9" s="124"/>
      <c r="O9" s="124"/>
      <c r="P9" s="124"/>
      <c r="Q9" s="124">
        <v>1</v>
      </c>
      <c r="R9" s="124"/>
      <c r="S9" s="124"/>
      <c r="T9" s="124"/>
      <c r="U9" s="124"/>
      <c r="V9" s="124"/>
      <c r="W9" s="125"/>
    </row>
    <row r="10" spans="1:23" ht="15.5" x14ac:dyDescent="0.35">
      <c r="A10" s="126">
        <v>7</v>
      </c>
      <c r="B10" s="116" t="str">
        <f>IFERROR(VLOOKUP(C10,'DAFTAR NAMA PRAMUDI'!C:D,2,FALSE),"0")</f>
        <v>Agus Sukmana</v>
      </c>
      <c r="C10" s="127">
        <v>17001101</v>
      </c>
      <c r="D10" s="123"/>
      <c r="E10" s="123"/>
      <c r="F10" s="123"/>
      <c r="G10" s="123"/>
      <c r="H10" s="123"/>
      <c r="I10" s="123">
        <v>0</v>
      </c>
      <c r="J10" s="123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5"/>
    </row>
    <row r="11" spans="1:23" ht="15.5" x14ac:dyDescent="0.35">
      <c r="A11" s="128">
        <v>8</v>
      </c>
      <c r="B11" s="116" t="str">
        <f>IFERROR(VLOOKUP(C11,'DAFTAR NAMA PRAMUDI'!C:D,2,FALSE),"0")</f>
        <v>Bayu Warastopo</v>
      </c>
      <c r="C11" s="130">
        <v>17001825</v>
      </c>
      <c r="D11" s="123" t="s">
        <v>140</v>
      </c>
      <c r="E11" s="123" t="s">
        <v>207</v>
      </c>
      <c r="F11" s="123">
        <v>1</v>
      </c>
      <c r="G11" s="123"/>
      <c r="H11" s="123"/>
      <c r="I11" s="123">
        <v>0</v>
      </c>
      <c r="J11" s="123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5"/>
    </row>
    <row r="12" spans="1:23" ht="52" x14ac:dyDescent="0.35">
      <c r="A12" s="131">
        <v>9</v>
      </c>
      <c r="B12" s="116" t="str">
        <f>IFERROR(VLOOKUP(C12,'DAFTAR NAMA PRAMUDI'!C:D,2,FALSE),"0")</f>
        <v>Ahmad Gustomi</v>
      </c>
      <c r="C12" s="132">
        <v>17000849</v>
      </c>
      <c r="D12" s="123"/>
      <c r="E12" s="123" t="s">
        <v>192</v>
      </c>
      <c r="F12" s="123">
        <v>2</v>
      </c>
      <c r="G12" s="123">
        <v>2</v>
      </c>
      <c r="H12" s="123" t="s">
        <v>283</v>
      </c>
      <c r="I12" s="123">
        <v>1</v>
      </c>
      <c r="J12" s="123"/>
      <c r="K12" s="124"/>
      <c r="L12" s="124"/>
      <c r="M12" s="124"/>
      <c r="N12" s="124"/>
      <c r="O12" s="124"/>
      <c r="P12" s="124"/>
      <c r="Q12" s="124">
        <v>2</v>
      </c>
      <c r="R12" s="124"/>
      <c r="S12" s="124"/>
      <c r="T12" s="124"/>
      <c r="U12" s="124"/>
      <c r="V12" s="124"/>
      <c r="W12" s="125"/>
    </row>
    <row r="13" spans="1:23" ht="31" x14ac:dyDescent="0.35">
      <c r="A13" s="133">
        <v>10</v>
      </c>
      <c r="B13" s="116" t="str">
        <f>IFERROR(VLOOKUP(C13,'DAFTAR NAMA PRAMUDI'!C:D,2,FALSE),"0")</f>
        <v>Anang Maulana Awaludin</v>
      </c>
      <c r="C13" s="134">
        <v>17001818</v>
      </c>
      <c r="D13" s="123" t="s">
        <v>148</v>
      </c>
      <c r="E13" s="123"/>
      <c r="F13" s="123">
        <v>0</v>
      </c>
      <c r="G13" s="123">
        <v>2</v>
      </c>
      <c r="H13" s="123" t="s">
        <v>284</v>
      </c>
      <c r="I13" s="123">
        <v>1</v>
      </c>
      <c r="J13" s="123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5"/>
    </row>
    <row r="14" spans="1:23" ht="15.5" x14ac:dyDescent="0.35">
      <c r="A14" s="126">
        <v>11</v>
      </c>
      <c r="B14" s="116" t="str">
        <f>IFERROR(VLOOKUP(C14,'DAFTAR NAMA PRAMUDI'!C:D,2,FALSE),"0")</f>
        <v>Akbar</v>
      </c>
      <c r="C14" s="127">
        <v>17001005</v>
      </c>
      <c r="D14" s="123" t="s">
        <v>160</v>
      </c>
      <c r="E14" s="123"/>
      <c r="F14" s="123">
        <v>0</v>
      </c>
      <c r="G14" s="123">
        <v>1</v>
      </c>
      <c r="H14" s="123"/>
      <c r="I14" s="123">
        <v>0</v>
      </c>
      <c r="J14" s="123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5"/>
    </row>
    <row r="15" spans="1:23" ht="15.5" x14ac:dyDescent="0.35">
      <c r="A15" s="128">
        <v>12</v>
      </c>
      <c r="B15" s="116" t="str">
        <f>IFERROR(VLOOKUP(C15,'DAFTAR NAMA PRAMUDI'!C:D,2,FALSE),"0")</f>
        <v>Andhy Sururi</v>
      </c>
      <c r="C15" s="127">
        <v>17001469</v>
      </c>
      <c r="D15" s="123"/>
      <c r="E15" s="123" t="s">
        <v>187</v>
      </c>
      <c r="F15" s="123">
        <v>1</v>
      </c>
      <c r="G15" s="123"/>
      <c r="H15" s="123"/>
      <c r="I15" s="123">
        <v>0</v>
      </c>
      <c r="J15" s="123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5"/>
    </row>
    <row r="16" spans="1:23" ht="15.5" x14ac:dyDescent="0.35">
      <c r="A16" s="126">
        <v>13</v>
      </c>
      <c r="B16" s="116" t="str">
        <f>IFERROR(VLOOKUP(C16,'DAFTAR NAMA PRAMUDI'!C:D,2,FALSE),"0")</f>
        <v xml:space="preserve">APIPUDIN </v>
      </c>
      <c r="C16" s="127">
        <v>17001509</v>
      </c>
      <c r="D16" s="123"/>
      <c r="E16" s="123"/>
      <c r="F16" s="123">
        <v>0</v>
      </c>
      <c r="G16" s="123"/>
      <c r="H16" s="123"/>
      <c r="I16" s="123">
        <v>0</v>
      </c>
      <c r="J16" s="123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5"/>
    </row>
    <row r="17" spans="1:23" ht="52" x14ac:dyDescent="0.35">
      <c r="A17" s="128">
        <v>14</v>
      </c>
      <c r="B17" s="116" t="str">
        <f>IFERROR(VLOOKUP(C17,'DAFTAR NAMA PRAMUDI'!C:D,2,FALSE),"0")</f>
        <v>Argent Dyego Saragi Napitu</v>
      </c>
      <c r="C17" s="127">
        <v>17001128</v>
      </c>
      <c r="D17" s="122"/>
      <c r="E17" s="123" t="s">
        <v>199</v>
      </c>
      <c r="F17" s="123">
        <v>2</v>
      </c>
      <c r="G17" s="123">
        <v>2</v>
      </c>
      <c r="H17" s="123" t="s">
        <v>277</v>
      </c>
      <c r="I17" s="123">
        <v>2</v>
      </c>
      <c r="J17" s="123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5"/>
    </row>
    <row r="18" spans="1:23" ht="15.5" x14ac:dyDescent="0.35">
      <c r="A18" s="135">
        <v>15</v>
      </c>
      <c r="B18" s="116" t="str">
        <f>IFERROR(VLOOKUP(C18,'DAFTAR NAMA PRAMUDI'!C:D,2,FALSE),"0")</f>
        <v>0</v>
      </c>
      <c r="C18" s="121">
        <v>17000678</v>
      </c>
      <c r="D18" s="123"/>
      <c r="E18" s="123"/>
      <c r="F18" s="123">
        <v>0</v>
      </c>
      <c r="G18" s="123"/>
      <c r="H18" s="123"/>
      <c r="I18" s="123">
        <v>0</v>
      </c>
      <c r="J18" s="123"/>
      <c r="K18" s="124"/>
      <c r="L18" s="124"/>
      <c r="M18" s="124"/>
      <c r="N18" s="124"/>
      <c r="O18" s="124"/>
      <c r="P18" s="124"/>
      <c r="Q18" s="124">
        <v>1</v>
      </c>
      <c r="R18" s="124"/>
      <c r="S18" s="124"/>
      <c r="T18" s="124"/>
      <c r="U18" s="124"/>
      <c r="V18" s="124"/>
      <c r="W18" s="125"/>
    </row>
    <row r="19" spans="1:23" ht="26" x14ac:dyDescent="0.35">
      <c r="A19" s="128">
        <v>16</v>
      </c>
      <c r="B19" s="116" t="str">
        <f>IFERROR(VLOOKUP(C19,'DAFTAR NAMA PRAMUDI'!C:D,2,FALSE),"0")</f>
        <v>0</v>
      </c>
      <c r="C19" s="127">
        <v>17001574</v>
      </c>
      <c r="D19" s="123" t="s">
        <v>164</v>
      </c>
      <c r="E19" s="123"/>
      <c r="F19" s="123">
        <v>0</v>
      </c>
      <c r="G19" s="123"/>
      <c r="H19" s="123" t="s">
        <v>230</v>
      </c>
      <c r="I19" s="123">
        <v>1</v>
      </c>
      <c r="J19" s="123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5"/>
    </row>
    <row r="20" spans="1:23" ht="15.5" x14ac:dyDescent="0.35">
      <c r="A20" s="135">
        <v>17</v>
      </c>
      <c r="B20" s="116" t="str">
        <f>IFERROR(VLOOKUP(C20,'DAFTAR NAMA PRAMUDI'!C:D,2,FALSE),"0")</f>
        <v>0</v>
      </c>
      <c r="C20" s="121">
        <v>780611296</v>
      </c>
      <c r="D20" s="123"/>
      <c r="E20" s="123"/>
      <c r="F20" s="123">
        <v>0</v>
      </c>
      <c r="G20" s="123"/>
      <c r="H20" s="123"/>
      <c r="I20" s="123">
        <v>0</v>
      </c>
      <c r="J20" s="123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5"/>
    </row>
    <row r="21" spans="1:23" ht="15.5" x14ac:dyDescent="0.35">
      <c r="A21" s="128">
        <v>18</v>
      </c>
      <c r="B21" s="116" t="str">
        <f>IFERROR(VLOOKUP(C21,'DAFTAR NAMA PRAMUDI'!C:D,2,FALSE),"0")</f>
        <v>Bambang irawan</v>
      </c>
      <c r="C21" s="127">
        <v>17001544</v>
      </c>
      <c r="D21" s="123"/>
      <c r="E21" s="123" t="s">
        <v>190</v>
      </c>
      <c r="F21" s="123">
        <v>1</v>
      </c>
      <c r="G21" s="123"/>
      <c r="H21" s="123"/>
      <c r="I21" s="123"/>
      <c r="J21" s="123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5"/>
    </row>
    <row r="22" spans="1:23" ht="15.5" x14ac:dyDescent="0.35">
      <c r="A22" s="135">
        <v>19</v>
      </c>
      <c r="B22" s="116" t="str">
        <f>IFERROR(VLOOKUP(C22,'DAFTAR NAMA PRAMUDI'!C:D,2,FALSE),"0")</f>
        <v>Bayu Dyan Sukmana</v>
      </c>
      <c r="C22" s="136">
        <v>17000839</v>
      </c>
      <c r="D22" s="123" t="s">
        <v>260</v>
      </c>
      <c r="E22" s="123" t="s">
        <v>212</v>
      </c>
      <c r="F22" s="123">
        <v>1</v>
      </c>
      <c r="G22" s="123">
        <v>1</v>
      </c>
      <c r="H22" s="123" t="s">
        <v>231</v>
      </c>
      <c r="I22" s="123">
        <v>1</v>
      </c>
      <c r="J22" s="123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5"/>
    </row>
    <row r="23" spans="1:23" ht="15.5" x14ac:dyDescent="0.35">
      <c r="A23" s="120">
        <v>20</v>
      </c>
      <c r="B23" s="116" t="str">
        <f>IFERROR(VLOOKUP(C23,'DAFTAR NAMA PRAMUDI'!C:D,2,FALSE),"0")</f>
        <v>Beni S.W</v>
      </c>
      <c r="C23" s="121">
        <v>17000436</v>
      </c>
      <c r="D23" s="123"/>
      <c r="E23" s="123"/>
      <c r="F23" s="123">
        <v>0</v>
      </c>
      <c r="G23" s="123">
        <v>1</v>
      </c>
      <c r="H23" s="123"/>
      <c r="I23" s="123">
        <v>0</v>
      </c>
      <c r="J23" s="123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5"/>
    </row>
    <row r="24" spans="1:23" ht="15.5" x14ac:dyDescent="0.35">
      <c r="A24" s="137">
        <v>21</v>
      </c>
      <c r="B24" s="116" t="str">
        <f>IFERROR(VLOOKUP(C24,'DAFTAR NAMA PRAMUDI'!C:D,2,FALSE),"0")</f>
        <v>Budi Prasetyo</v>
      </c>
      <c r="C24" s="138">
        <v>17000389</v>
      </c>
      <c r="D24" s="123"/>
      <c r="E24" s="123" t="s">
        <v>226</v>
      </c>
      <c r="F24" s="123">
        <v>0</v>
      </c>
      <c r="G24" s="123">
        <v>1</v>
      </c>
      <c r="H24" s="123"/>
      <c r="I24" s="123">
        <v>0</v>
      </c>
      <c r="J24" s="123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5"/>
    </row>
    <row r="25" spans="1:23" ht="26" x14ac:dyDescent="0.35">
      <c r="A25" s="139">
        <v>22</v>
      </c>
      <c r="B25" s="116" t="str">
        <f>IFERROR(VLOOKUP(C25,'DAFTAR NAMA PRAMUDI'!C:D,2,FALSE),"0")</f>
        <v xml:space="preserve">Dede Erik </v>
      </c>
      <c r="C25" s="140">
        <v>17000346</v>
      </c>
      <c r="D25" s="123" t="s">
        <v>258</v>
      </c>
      <c r="E25" s="124" t="s">
        <v>179</v>
      </c>
      <c r="F25" s="124">
        <v>1</v>
      </c>
      <c r="G25" s="124">
        <v>1</v>
      </c>
      <c r="H25" s="122" t="s">
        <v>274</v>
      </c>
      <c r="I25" s="122">
        <v>1</v>
      </c>
      <c r="J25" s="122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5"/>
    </row>
    <row r="26" spans="1:23" ht="15.5" x14ac:dyDescent="0.35">
      <c r="A26" s="126">
        <v>23</v>
      </c>
      <c r="B26" s="116" t="str">
        <f>IFERROR(VLOOKUP(C26,'DAFTAR NAMA PRAMUDI'!C:D,2,FALSE),"0")</f>
        <v>0</v>
      </c>
      <c r="C26" s="127">
        <v>17000471</v>
      </c>
      <c r="D26" s="123"/>
      <c r="E26" s="123"/>
      <c r="F26" s="123">
        <v>0</v>
      </c>
      <c r="G26" s="123"/>
      <c r="H26" s="123" t="s">
        <v>275</v>
      </c>
      <c r="I26" s="123">
        <v>1</v>
      </c>
      <c r="J26" s="123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5"/>
    </row>
    <row r="27" spans="1:23" ht="15.5" x14ac:dyDescent="0.35">
      <c r="A27" s="120">
        <v>24</v>
      </c>
      <c r="B27" s="116" t="str">
        <f>IFERROR(VLOOKUP(C27,'DAFTAR NAMA PRAMUDI'!C:D,2,FALSE),"0")</f>
        <v>Defi Andri</v>
      </c>
      <c r="C27" s="121">
        <v>7213120708</v>
      </c>
      <c r="D27" s="122" t="s">
        <v>149</v>
      </c>
      <c r="E27" s="123"/>
      <c r="F27" s="123">
        <v>0</v>
      </c>
      <c r="G27" s="123"/>
      <c r="H27" s="123"/>
      <c r="I27" s="123">
        <v>0</v>
      </c>
      <c r="J27" s="123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5"/>
    </row>
    <row r="28" spans="1:23" ht="39" x14ac:dyDescent="0.35">
      <c r="A28" s="137">
        <v>25</v>
      </c>
      <c r="B28" s="116" t="str">
        <f>IFERROR(VLOOKUP(C28,'DAFTAR NAMA PRAMUDI'!C:D,2,FALSE),"0")</f>
        <v>Deni Permadi</v>
      </c>
      <c r="C28" s="138">
        <v>17001328</v>
      </c>
      <c r="D28" s="123"/>
      <c r="E28" s="190" t="s">
        <v>195</v>
      </c>
      <c r="F28" s="123">
        <v>2</v>
      </c>
      <c r="G28" s="123">
        <v>3</v>
      </c>
      <c r="H28" s="123"/>
      <c r="I28" s="123">
        <v>0</v>
      </c>
      <c r="J28" s="123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5"/>
    </row>
    <row r="29" spans="1:23" ht="31" x14ac:dyDescent="0.35">
      <c r="A29" s="128">
        <v>26</v>
      </c>
      <c r="B29" s="116" t="str">
        <f>IFERROR(VLOOKUP(C29,'DAFTAR NAMA PRAMUDI'!C:D,2,FALSE),"0")</f>
        <v>Dodo Wilmar Panjaitan</v>
      </c>
      <c r="C29" s="127">
        <v>17000838</v>
      </c>
      <c r="D29" s="123" t="s">
        <v>173</v>
      </c>
      <c r="E29" s="123" t="s">
        <v>182</v>
      </c>
      <c r="F29" s="123">
        <v>1</v>
      </c>
      <c r="G29" s="123"/>
      <c r="H29" s="123"/>
      <c r="I29" s="123">
        <v>0</v>
      </c>
      <c r="J29" s="123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5"/>
    </row>
    <row r="30" spans="1:23" ht="52.5" customHeight="1" x14ac:dyDescent="0.35">
      <c r="A30" s="137">
        <v>27</v>
      </c>
      <c r="B30" s="116" t="str">
        <f>IFERROR(VLOOKUP(C30,'DAFTAR NAMA PRAMUDI'!C:D,2,FALSE),"0")</f>
        <v>Firman Hari</v>
      </c>
      <c r="C30" s="138">
        <v>17001802</v>
      </c>
      <c r="D30" s="123" t="s">
        <v>155</v>
      </c>
      <c r="E30" s="123" t="s">
        <v>216</v>
      </c>
      <c r="F30" s="123">
        <v>2</v>
      </c>
      <c r="G30" s="123">
        <v>2</v>
      </c>
      <c r="H30" s="123" t="s">
        <v>281</v>
      </c>
      <c r="I30" s="123">
        <v>1</v>
      </c>
      <c r="J30" s="123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5"/>
    </row>
    <row r="31" spans="1:23" ht="26" x14ac:dyDescent="0.35">
      <c r="A31" s="133">
        <v>28</v>
      </c>
      <c r="B31" s="116" t="str">
        <f>IFERROR(VLOOKUP(C31,'DAFTAR NAMA PRAMUDI'!C:D,2,FALSE),"0")</f>
        <v>Edy Susanto</v>
      </c>
      <c r="C31" s="141">
        <v>17000427</v>
      </c>
      <c r="D31" s="123" t="s">
        <v>147</v>
      </c>
      <c r="E31" s="123"/>
      <c r="F31" s="123">
        <v>0</v>
      </c>
      <c r="G31" s="123"/>
      <c r="H31" s="123" t="s">
        <v>241</v>
      </c>
      <c r="I31" s="123">
        <v>1</v>
      </c>
      <c r="J31" s="123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5"/>
    </row>
    <row r="32" spans="1:23" ht="15.5" x14ac:dyDescent="0.35">
      <c r="A32" s="126">
        <v>29</v>
      </c>
      <c r="B32" s="116" t="str">
        <f>IFERROR(VLOOKUP(C32,'DAFTAR NAMA PRAMUDI'!C:D,2,FALSE),"0")</f>
        <v>Efendi</v>
      </c>
      <c r="C32" s="127">
        <v>17000441</v>
      </c>
      <c r="D32" s="123"/>
      <c r="E32" s="123"/>
      <c r="F32" s="123">
        <v>0</v>
      </c>
      <c r="G32" s="123"/>
      <c r="H32" s="123"/>
      <c r="I32" s="123">
        <v>0</v>
      </c>
      <c r="J32" s="123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5"/>
    </row>
    <row r="33" spans="1:23" ht="52" x14ac:dyDescent="0.35">
      <c r="A33" s="128">
        <v>30</v>
      </c>
      <c r="B33" s="116" t="str">
        <f>IFERROR(VLOOKUP(C33,'DAFTAR NAMA PRAMUDI'!C:D,2,FALSE),"0")</f>
        <v>Fatah Fathuroji</v>
      </c>
      <c r="C33" s="130">
        <v>17001844</v>
      </c>
      <c r="D33" s="123" t="s">
        <v>131</v>
      </c>
      <c r="E33" s="123" t="s">
        <v>227</v>
      </c>
      <c r="F33" s="123">
        <v>2</v>
      </c>
      <c r="G33" s="123">
        <v>2</v>
      </c>
      <c r="H33" s="123" t="s">
        <v>288</v>
      </c>
      <c r="I33" s="123">
        <v>1</v>
      </c>
      <c r="J33" s="123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5"/>
    </row>
    <row r="34" spans="1:23" ht="15.5" x14ac:dyDescent="0.35">
      <c r="A34" s="126">
        <v>31</v>
      </c>
      <c r="B34" s="116" t="str">
        <f>IFERROR(VLOOKUP(C34,'DAFTAR NAMA PRAMUDI'!C:D,2,FALSE),"0")</f>
        <v>Fahrul Rozi</v>
      </c>
      <c r="C34" s="127">
        <v>17001418</v>
      </c>
      <c r="D34" s="123"/>
      <c r="E34" s="123"/>
      <c r="F34" s="123">
        <v>0</v>
      </c>
      <c r="G34" s="123"/>
      <c r="H34" s="123"/>
      <c r="I34" s="123">
        <v>0</v>
      </c>
      <c r="J34" s="123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5"/>
    </row>
    <row r="35" spans="1:23" ht="26" x14ac:dyDescent="0.35">
      <c r="A35" s="128">
        <v>32</v>
      </c>
      <c r="B35" s="116" t="str">
        <f>IFERROR(VLOOKUP(C35,'DAFTAR NAMA PRAMUDI'!C:D,2,FALSE),"0")</f>
        <v>Fajar Miftahudin</v>
      </c>
      <c r="C35" s="127">
        <v>17001576</v>
      </c>
      <c r="D35" s="123" t="s">
        <v>161</v>
      </c>
      <c r="E35" s="123" t="s">
        <v>181</v>
      </c>
      <c r="F35" s="123">
        <v>1</v>
      </c>
      <c r="G35" s="123">
        <v>1</v>
      </c>
      <c r="H35" s="123"/>
      <c r="I35" s="123">
        <v>0</v>
      </c>
      <c r="J35" s="123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/>
    </row>
    <row r="36" spans="1:23" ht="31" x14ac:dyDescent="0.35">
      <c r="A36" s="126">
        <v>33</v>
      </c>
      <c r="B36" s="116" t="str">
        <f>IFERROR(VLOOKUP(C36,'DAFTAR NAMA PRAMUDI'!C:D,2,FALSE),"0")</f>
        <v>Fernando Triokto Lumbanraja</v>
      </c>
      <c r="C36" s="127">
        <v>17001536</v>
      </c>
      <c r="D36" s="123" t="s">
        <v>171</v>
      </c>
      <c r="E36" s="123" t="s">
        <v>208</v>
      </c>
      <c r="F36" s="123">
        <v>1</v>
      </c>
      <c r="G36" s="123">
        <v>1</v>
      </c>
      <c r="H36" s="123"/>
      <c r="I36" s="123">
        <v>0</v>
      </c>
      <c r="J36" s="123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5"/>
    </row>
    <row r="37" spans="1:23" ht="15.5" x14ac:dyDescent="0.35">
      <c r="A37" s="128">
        <v>34</v>
      </c>
      <c r="B37" s="116" t="str">
        <f>IFERROR(VLOOKUP(C37,'DAFTAR NAMA PRAMUDI'!C:D,2,FALSE),"0")</f>
        <v>Gokman S</v>
      </c>
      <c r="C37" s="127">
        <v>17001449</v>
      </c>
      <c r="D37" s="123" t="s">
        <v>156</v>
      </c>
      <c r="E37" s="123"/>
      <c r="F37" s="123">
        <v>0</v>
      </c>
      <c r="G37" s="123"/>
      <c r="H37" s="123" t="s">
        <v>244</v>
      </c>
      <c r="I37" s="123">
        <v>1</v>
      </c>
      <c r="J37" s="123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5"/>
    </row>
    <row r="38" spans="1:23" ht="26" x14ac:dyDescent="0.35">
      <c r="A38" s="135">
        <v>35</v>
      </c>
      <c r="B38" s="116" t="str">
        <f>IFERROR(VLOOKUP(C38,'DAFTAR NAMA PRAMUDI'!C:D,2,FALSE),"0")</f>
        <v>0</v>
      </c>
      <c r="C38" s="121">
        <v>17001937</v>
      </c>
      <c r="D38" s="189" t="s">
        <v>259</v>
      </c>
      <c r="E38" s="189" t="s">
        <v>197</v>
      </c>
      <c r="F38" s="123">
        <v>1</v>
      </c>
      <c r="G38" s="123">
        <v>1</v>
      </c>
      <c r="H38" s="189" t="s">
        <v>237</v>
      </c>
      <c r="I38" s="123">
        <v>0</v>
      </c>
      <c r="J38" s="123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5"/>
    </row>
    <row r="39" spans="1:23" ht="15.5" x14ac:dyDescent="0.35">
      <c r="A39" s="120">
        <v>36</v>
      </c>
      <c r="B39" s="116" t="str">
        <f>IFERROR(VLOOKUP(C39,'DAFTAR NAMA PRAMUDI'!C:D,2,FALSE),"0")</f>
        <v>Gumilar Aziz Cahyadi</v>
      </c>
      <c r="C39" s="142">
        <v>17001324</v>
      </c>
      <c r="D39" s="123" t="s">
        <v>129</v>
      </c>
      <c r="E39" s="123" t="s">
        <v>206</v>
      </c>
      <c r="F39" s="123">
        <v>1</v>
      </c>
      <c r="G39" s="123">
        <v>1</v>
      </c>
      <c r="H39" s="123"/>
      <c r="I39" s="123">
        <v>0</v>
      </c>
      <c r="J39" s="123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5"/>
    </row>
    <row r="40" spans="1:23" ht="52" x14ac:dyDescent="0.35">
      <c r="A40" s="126">
        <v>37</v>
      </c>
      <c r="B40" s="116" t="str">
        <f>IFERROR(VLOOKUP(C40,'DAFTAR NAMA PRAMUDI'!C:D,2,FALSE),"0")</f>
        <v>Hafid</v>
      </c>
      <c r="C40" s="143">
        <v>17000798</v>
      </c>
      <c r="D40" s="123"/>
      <c r="E40" s="190" t="s">
        <v>224</v>
      </c>
      <c r="F40" s="123">
        <v>3</v>
      </c>
      <c r="G40" s="123">
        <v>3</v>
      </c>
      <c r="H40" s="123"/>
      <c r="I40" s="123">
        <v>0</v>
      </c>
      <c r="J40" s="123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5"/>
    </row>
    <row r="41" spans="1:23" ht="52" x14ac:dyDescent="0.35">
      <c r="A41" s="128">
        <v>38</v>
      </c>
      <c r="B41" s="116" t="str">
        <f>IFERROR(VLOOKUP(C41,'DAFTAR NAMA PRAMUDI'!C:D,2,FALSE),"0")</f>
        <v>Gilang Rengga s</v>
      </c>
      <c r="C41" s="144">
        <v>17001852</v>
      </c>
      <c r="D41" s="123" t="s">
        <v>150</v>
      </c>
      <c r="E41" s="123" t="s">
        <v>215</v>
      </c>
      <c r="F41" s="123">
        <v>2</v>
      </c>
      <c r="G41" s="123">
        <v>2</v>
      </c>
      <c r="H41" s="123"/>
      <c r="I41" s="123">
        <v>0</v>
      </c>
      <c r="J41" s="123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5"/>
    </row>
    <row r="42" spans="1:23" ht="15.5" x14ac:dyDescent="0.35">
      <c r="A42" s="133">
        <v>39</v>
      </c>
      <c r="B42" s="116" t="str">
        <f>IFERROR(VLOOKUP(C42,'DAFTAR NAMA PRAMUDI'!C:D,2,FALSE),"0")</f>
        <v xml:space="preserve">HERMAN </v>
      </c>
      <c r="C42" s="145">
        <v>17001447</v>
      </c>
      <c r="D42" s="123"/>
      <c r="E42" s="123"/>
      <c r="F42" s="123">
        <v>0</v>
      </c>
      <c r="G42" s="123"/>
      <c r="H42" s="123"/>
      <c r="I42" s="123">
        <v>0</v>
      </c>
      <c r="J42" s="123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5"/>
    </row>
    <row r="43" spans="1:23" ht="26" x14ac:dyDescent="0.35">
      <c r="A43" s="126">
        <v>40</v>
      </c>
      <c r="B43" s="116" t="str">
        <f>IFERROR(VLOOKUP(C43,'DAFTAR NAMA PRAMUDI'!C:D,2,FALSE),"0")</f>
        <v>Hermawansyah</v>
      </c>
      <c r="C43" s="144">
        <v>17001603</v>
      </c>
      <c r="D43" s="122"/>
      <c r="E43" s="123" t="s">
        <v>225</v>
      </c>
      <c r="F43" s="123">
        <v>1</v>
      </c>
      <c r="G43" s="123">
        <v>1</v>
      </c>
      <c r="H43" s="123" t="s">
        <v>280</v>
      </c>
      <c r="I43" s="123">
        <v>1</v>
      </c>
      <c r="J43" s="123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5"/>
    </row>
    <row r="44" spans="1:23" ht="15.5" x14ac:dyDescent="0.35">
      <c r="A44" s="133">
        <v>41</v>
      </c>
      <c r="B44" s="116" t="str">
        <f>IFERROR(VLOOKUP(C44,'DAFTAR NAMA PRAMUDI'!C:D,2,FALSE),"0")</f>
        <v>Hilmi Sanusi</v>
      </c>
      <c r="C44" s="145">
        <v>17001488</v>
      </c>
      <c r="D44" s="123" t="s">
        <v>152</v>
      </c>
      <c r="E44" s="123"/>
      <c r="F44" s="123">
        <v>0</v>
      </c>
      <c r="G44" s="123"/>
      <c r="H44" s="123"/>
      <c r="I44" s="123">
        <v>0</v>
      </c>
      <c r="J44" s="123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5"/>
    </row>
    <row r="45" spans="1:23" ht="15.5" x14ac:dyDescent="0.35">
      <c r="A45" s="137">
        <v>42</v>
      </c>
      <c r="B45" s="116" t="str">
        <f>IFERROR(VLOOKUP(C45,'DAFTAR NAMA PRAMUDI'!C:D,2,FALSE),"0")</f>
        <v>0</v>
      </c>
      <c r="C45" s="145"/>
      <c r="D45" s="123"/>
      <c r="E45" s="123"/>
      <c r="F45" s="123">
        <v>0</v>
      </c>
      <c r="G45" s="123"/>
      <c r="H45" s="123"/>
      <c r="I45" s="123">
        <v>0</v>
      </c>
      <c r="J45" s="123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5"/>
    </row>
    <row r="46" spans="1:23" ht="39" x14ac:dyDescent="0.35">
      <c r="A46" s="128">
        <v>43</v>
      </c>
      <c r="B46" s="116" t="str">
        <f>IFERROR(VLOOKUP(C46,'DAFTAR NAMA PRAMUDI'!C:D,2,FALSE),"0")</f>
        <v>Hulman Sihotang</v>
      </c>
      <c r="C46" s="146">
        <v>17000691</v>
      </c>
      <c r="D46" s="122" t="s">
        <v>145</v>
      </c>
      <c r="E46" s="123" t="s">
        <v>222</v>
      </c>
      <c r="F46" s="123">
        <v>2</v>
      </c>
      <c r="G46" s="123">
        <v>2</v>
      </c>
      <c r="H46" s="123"/>
      <c r="I46" s="123">
        <v>0</v>
      </c>
      <c r="J46" s="123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5"/>
    </row>
    <row r="47" spans="1:23" ht="15.5" x14ac:dyDescent="0.35">
      <c r="A47" s="137">
        <v>44</v>
      </c>
      <c r="B47" s="116" t="str">
        <f>IFERROR(VLOOKUP(C47,'DAFTAR NAMA PRAMUDI'!C:D,2,FALSE),"0")</f>
        <v>Ilham Ihda Maulana</v>
      </c>
      <c r="C47" s="145">
        <v>17001293</v>
      </c>
      <c r="D47" s="123"/>
      <c r="E47" s="123"/>
      <c r="F47" s="123">
        <v>0</v>
      </c>
      <c r="G47" s="123"/>
      <c r="H47" s="123"/>
      <c r="I47" s="123">
        <v>0</v>
      </c>
      <c r="J47" s="123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5"/>
    </row>
    <row r="48" spans="1:23" ht="15.5" x14ac:dyDescent="0.35">
      <c r="A48" s="128">
        <v>45</v>
      </c>
      <c r="B48" s="116" t="str">
        <f>IFERROR(VLOOKUP(C48,'DAFTAR NAMA PRAMUDI'!C:D,2,FALSE),"0")</f>
        <v>Imam Kharis</v>
      </c>
      <c r="C48" s="146">
        <v>17000510</v>
      </c>
      <c r="D48" s="123"/>
      <c r="E48" s="123" t="s">
        <v>204</v>
      </c>
      <c r="F48" s="123">
        <v>1</v>
      </c>
      <c r="G48" s="123">
        <v>1</v>
      </c>
      <c r="H48" s="123"/>
      <c r="I48" s="123">
        <v>0</v>
      </c>
      <c r="J48" s="123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5"/>
    </row>
    <row r="49" spans="1:23" ht="15.5" x14ac:dyDescent="0.35">
      <c r="A49" s="137">
        <v>46</v>
      </c>
      <c r="B49" s="116" t="str">
        <f>IFERROR(VLOOKUP(C49,'DAFTAR NAMA PRAMUDI'!C:D,2,FALSE),"0")</f>
        <v>Imam Kuspendi</v>
      </c>
      <c r="C49" s="147">
        <v>17001028</v>
      </c>
      <c r="D49" s="123" t="s">
        <v>163</v>
      </c>
      <c r="E49" s="123"/>
      <c r="F49" s="123">
        <v>0</v>
      </c>
      <c r="G49" s="123"/>
      <c r="H49" s="123" t="s">
        <v>233</v>
      </c>
      <c r="I49" s="123">
        <v>1</v>
      </c>
      <c r="J49" s="123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5"/>
    </row>
    <row r="50" spans="1:23" ht="15.5" x14ac:dyDescent="0.35">
      <c r="A50" s="120">
        <v>47</v>
      </c>
      <c r="B50" s="116" t="str">
        <f>IFERROR(VLOOKUP(C50,'DAFTAR NAMA PRAMUDI'!C:D,2,FALSE),"0")</f>
        <v>Imron Asmara</v>
      </c>
      <c r="C50" s="142">
        <v>8615121388</v>
      </c>
      <c r="D50" s="123"/>
      <c r="E50" s="123"/>
      <c r="F50" s="123">
        <v>0</v>
      </c>
      <c r="G50" s="123"/>
      <c r="H50" s="123"/>
      <c r="I50" s="123">
        <v>0</v>
      </c>
      <c r="J50" s="123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5"/>
    </row>
    <row r="51" spans="1:23" ht="31" x14ac:dyDescent="0.35">
      <c r="A51" s="135">
        <v>48</v>
      </c>
      <c r="B51" s="116" t="str">
        <f>IFERROR(VLOOKUP(C51,'DAFTAR NAMA PRAMUDI'!C:D,2,FALSE),"0")</f>
        <v>Indra Pinayung Sitompul</v>
      </c>
      <c r="C51" s="142">
        <v>17001070</v>
      </c>
      <c r="D51" s="123"/>
      <c r="E51" s="123" t="s">
        <v>193</v>
      </c>
      <c r="F51" s="123">
        <v>1</v>
      </c>
      <c r="G51" s="123">
        <v>1</v>
      </c>
      <c r="H51" s="123" t="s">
        <v>276</v>
      </c>
      <c r="I51" s="123">
        <v>1</v>
      </c>
      <c r="J51" s="123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5"/>
    </row>
    <row r="52" spans="1:23" ht="52" x14ac:dyDescent="0.35">
      <c r="A52" s="120">
        <v>49</v>
      </c>
      <c r="B52" s="116" t="str">
        <f>IFERROR(VLOOKUP(C52,'DAFTAR NAMA PRAMUDI'!C:D,2,FALSE),"0")</f>
        <v>Ishak Oma</v>
      </c>
      <c r="C52" s="142">
        <v>17000598</v>
      </c>
      <c r="D52" s="123" t="s">
        <v>166</v>
      </c>
      <c r="E52" s="123" t="s">
        <v>205</v>
      </c>
      <c r="F52" s="123">
        <v>1</v>
      </c>
      <c r="G52" s="123">
        <v>1</v>
      </c>
      <c r="H52" s="123" t="s">
        <v>282</v>
      </c>
      <c r="I52" s="123">
        <v>1</v>
      </c>
      <c r="J52" s="123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5"/>
    </row>
    <row r="53" spans="1:23" ht="26" x14ac:dyDescent="0.35">
      <c r="A53" s="126">
        <v>50</v>
      </c>
      <c r="B53" s="116" t="str">
        <f>IFERROR(VLOOKUP(C53,'DAFTAR NAMA PRAMUDI'!C:D,2,FALSE),"0")</f>
        <v>Iwan Setiawan</v>
      </c>
      <c r="C53" s="146">
        <v>17000909</v>
      </c>
      <c r="D53" s="123"/>
      <c r="E53" s="123" t="s">
        <v>196</v>
      </c>
      <c r="F53" s="123">
        <v>1</v>
      </c>
      <c r="G53" s="123">
        <v>1</v>
      </c>
      <c r="H53" s="123"/>
      <c r="I53" s="123">
        <v>0</v>
      </c>
      <c r="J53" s="123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5"/>
    </row>
    <row r="54" spans="1:23" ht="15.5" x14ac:dyDescent="0.35">
      <c r="A54" s="120">
        <v>51</v>
      </c>
      <c r="B54" s="116" t="str">
        <f>IFERROR(VLOOKUP(C54,'DAFTAR NAMA PRAMUDI'!C:D,2,FALSE),"0")</f>
        <v>Jonaemson Gultom</v>
      </c>
      <c r="C54" s="148">
        <v>17001022</v>
      </c>
      <c r="D54" s="123" t="s">
        <v>157</v>
      </c>
      <c r="E54" s="123"/>
      <c r="F54" s="123">
        <v>0</v>
      </c>
      <c r="G54" s="123"/>
      <c r="H54" s="123"/>
      <c r="I54" s="123">
        <v>0</v>
      </c>
      <c r="J54" s="123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5"/>
    </row>
    <row r="55" spans="1:23" ht="39" x14ac:dyDescent="0.35">
      <c r="A55" s="126">
        <v>52</v>
      </c>
      <c r="B55" s="116" t="str">
        <f>IFERROR(VLOOKUP(C55,'DAFTAR NAMA PRAMUDI'!C:D,2,FALSE),"0")</f>
        <v>Iwan Wibowo</v>
      </c>
      <c r="C55" s="146">
        <v>17001502</v>
      </c>
      <c r="D55" s="123"/>
      <c r="E55" s="123" t="s">
        <v>213</v>
      </c>
      <c r="F55" s="123">
        <v>2</v>
      </c>
      <c r="G55" s="123">
        <v>2</v>
      </c>
      <c r="H55" s="123" t="s">
        <v>247</v>
      </c>
      <c r="I55" s="123">
        <v>1</v>
      </c>
      <c r="J55" s="123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5"/>
    </row>
    <row r="56" spans="1:23" ht="26" x14ac:dyDescent="0.35">
      <c r="A56" s="120">
        <v>53</v>
      </c>
      <c r="B56" s="116" t="str">
        <f>IFERROR(VLOOKUP(C56,'DAFTAR NAMA PRAMUDI'!C:D,2,FALSE),"0")</f>
        <v>Japahotin sihombing</v>
      </c>
      <c r="C56" s="142">
        <v>17001578</v>
      </c>
      <c r="D56" s="123"/>
      <c r="E56" s="123"/>
      <c r="F56" s="123">
        <v>0</v>
      </c>
      <c r="G56" s="123"/>
      <c r="H56" s="123" t="s">
        <v>289</v>
      </c>
      <c r="I56" s="123">
        <v>1</v>
      </c>
      <c r="J56" s="123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5"/>
    </row>
    <row r="57" spans="1:23" ht="39" x14ac:dyDescent="0.35">
      <c r="A57" s="135">
        <v>54</v>
      </c>
      <c r="B57" s="116" t="str">
        <f>IFERROR(VLOOKUP(C57,'DAFTAR NAMA PRAMUDI'!C:D,2,FALSE),"0")</f>
        <v>Joko Santoso</v>
      </c>
      <c r="C57" s="148">
        <v>790110747</v>
      </c>
      <c r="D57" s="123"/>
      <c r="E57" s="123" t="s">
        <v>201</v>
      </c>
      <c r="F57" s="123">
        <v>2</v>
      </c>
      <c r="G57" s="123">
        <v>2</v>
      </c>
      <c r="H57" s="123"/>
      <c r="I57" s="123">
        <v>0</v>
      </c>
      <c r="J57" s="123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5"/>
    </row>
    <row r="58" spans="1:23" ht="26" x14ac:dyDescent="0.35">
      <c r="A58" s="128">
        <v>55</v>
      </c>
      <c r="B58" s="116" t="str">
        <f>IFERROR(VLOOKUP(C58,'DAFTAR NAMA PRAMUDI'!C:D,2,FALSE),"0")</f>
        <v>Kiswanto</v>
      </c>
      <c r="C58" s="146">
        <v>17001511</v>
      </c>
      <c r="D58" s="123"/>
      <c r="E58" s="123" t="s">
        <v>263</v>
      </c>
      <c r="F58" s="123">
        <v>2</v>
      </c>
      <c r="G58" s="123">
        <v>1</v>
      </c>
      <c r="H58" s="123" t="s">
        <v>234</v>
      </c>
      <c r="I58" s="123">
        <v>1</v>
      </c>
      <c r="J58" s="123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5"/>
    </row>
    <row r="59" spans="1:23" ht="65" x14ac:dyDescent="0.35">
      <c r="A59" s="135">
        <v>56</v>
      </c>
      <c r="B59" s="116" t="str">
        <f>IFERROR(VLOOKUP(C59,'DAFTAR NAMA PRAMUDI'!C:D,2,FALSE),"0")</f>
        <v>Kusnadi</v>
      </c>
      <c r="C59" s="142">
        <v>17000590</v>
      </c>
      <c r="D59" s="123"/>
      <c r="E59" s="190" t="s">
        <v>220</v>
      </c>
      <c r="F59" s="123">
        <v>3</v>
      </c>
      <c r="G59" s="123">
        <v>3</v>
      </c>
      <c r="H59" s="123"/>
      <c r="I59" s="123">
        <v>0</v>
      </c>
      <c r="J59" s="123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5"/>
    </row>
    <row r="60" spans="1:23" ht="39" x14ac:dyDescent="0.35">
      <c r="A60" s="128">
        <v>57</v>
      </c>
      <c r="B60" s="116" t="str">
        <f>IFERROR(VLOOKUP(C60,'DAFTAR NAMA PRAMUDI'!C:D,2,FALSE),"0")</f>
        <v>Lilik Damayanti</v>
      </c>
      <c r="C60" s="144">
        <v>17001361</v>
      </c>
      <c r="D60" s="123" t="s">
        <v>142</v>
      </c>
      <c r="E60" s="190" t="s">
        <v>218</v>
      </c>
      <c r="F60" s="123">
        <v>3</v>
      </c>
      <c r="G60" s="123">
        <v>3</v>
      </c>
      <c r="H60" s="123"/>
      <c r="I60" s="123">
        <v>0</v>
      </c>
      <c r="J60" s="123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5"/>
    </row>
    <row r="61" spans="1:23" ht="15.5" x14ac:dyDescent="0.35">
      <c r="A61" s="126">
        <v>58</v>
      </c>
      <c r="B61" s="116" t="str">
        <f>IFERROR(VLOOKUP(C61,'DAFTAR NAMA PRAMUDI'!C:D,2,FALSE),"0")</f>
        <v>lukman khakim</v>
      </c>
      <c r="C61" s="146">
        <v>17001790</v>
      </c>
      <c r="D61" s="123" t="s">
        <v>135</v>
      </c>
      <c r="E61" s="123"/>
      <c r="F61" s="123">
        <v>0</v>
      </c>
      <c r="G61" s="123"/>
      <c r="H61" s="123"/>
      <c r="I61" s="123">
        <v>0</v>
      </c>
      <c r="J61" s="123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5"/>
    </row>
    <row r="62" spans="1:23" ht="15.5" x14ac:dyDescent="0.35">
      <c r="A62" s="128">
        <v>59</v>
      </c>
      <c r="B62" s="116" t="str">
        <f>IFERROR(VLOOKUP(C62,'DAFTAR NAMA PRAMUDI'!C:D,2,FALSE),"0")</f>
        <v>M. Muslimin</v>
      </c>
      <c r="C62" s="146">
        <v>17000884</v>
      </c>
      <c r="D62" s="123" t="s">
        <v>143</v>
      </c>
      <c r="E62" s="123"/>
      <c r="F62" s="123">
        <v>0</v>
      </c>
      <c r="G62" s="123"/>
      <c r="H62" s="123"/>
      <c r="I62" s="123">
        <v>0</v>
      </c>
      <c r="J62" s="123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5"/>
    </row>
    <row r="63" spans="1:23" ht="39" x14ac:dyDescent="0.35">
      <c r="A63" s="126">
        <v>60</v>
      </c>
      <c r="B63" s="116" t="str">
        <f>IFERROR(VLOOKUP(C63,'DAFTAR NAMA PRAMUDI'!C:D,2,FALSE),"0")</f>
        <v>M. Sapli</v>
      </c>
      <c r="C63" s="146">
        <v>17001504</v>
      </c>
      <c r="D63" s="123"/>
      <c r="E63" s="123" t="s">
        <v>223</v>
      </c>
      <c r="F63" s="123">
        <v>2</v>
      </c>
      <c r="G63" s="123">
        <v>2</v>
      </c>
      <c r="H63" s="123" t="s">
        <v>245</v>
      </c>
      <c r="I63" s="123">
        <v>1</v>
      </c>
      <c r="J63" s="123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5"/>
    </row>
    <row r="64" spans="1:23" ht="15.5" x14ac:dyDescent="0.35">
      <c r="A64" s="120">
        <v>61</v>
      </c>
      <c r="B64" s="116" t="str">
        <f>IFERROR(VLOOKUP(C64,'DAFTAR NAMA PRAMUDI'!C:D,2,FALSE),"0")</f>
        <v>Maman</v>
      </c>
      <c r="C64" s="142">
        <v>17000595</v>
      </c>
      <c r="D64" s="123"/>
      <c r="E64" s="123"/>
      <c r="F64" s="123">
        <v>0</v>
      </c>
      <c r="G64" s="123"/>
      <c r="H64" s="123"/>
      <c r="I64" s="123">
        <v>0</v>
      </c>
      <c r="J64" s="123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5"/>
    </row>
    <row r="65" spans="1:23" ht="15.5" x14ac:dyDescent="0.35">
      <c r="A65" s="126">
        <v>62</v>
      </c>
      <c r="B65" s="116" t="str">
        <f>IFERROR(VLOOKUP(C65,'DAFTAR NAMA PRAMUDI'!C:D,2,FALSE),"0")</f>
        <v>Manat Hasugian</v>
      </c>
      <c r="C65" s="146">
        <v>17001477</v>
      </c>
      <c r="D65" s="189" t="s">
        <v>167</v>
      </c>
      <c r="E65" s="189" t="s">
        <v>180</v>
      </c>
      <c r="F65" s="123">
        <v>1</v>
      </c>
      <c r="G65" s="123">
        <v>1</v>
      </c>
      <c r="H65" s="189" t="s">
        <v>231</v>
      </c>
      <c r="I65" s="123">
        <v>1</v>
      </c>
      <c r="J65" s="123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5"/>
    </row>
    <row r="66" spans="1:23" ht="15.5" x14ac:dyDescent="0.35">
      <c r="A66" s="120">
        <v>63</v>
      </c>
      <c r="B66" s="116" t="str">
        <f>IFERROR(VLOOKUP(C66,'DAFTAR NAMA PRAMUDI'!C:D,2,FALSE),"0")</f>
        <v>Mardongan H</v>
      </c>
      <c r="C66" s="142">
        <v>17000994</v>
      </c>
      <c r="D66" s="123" t="s">
        <v>136</v>
      </c>
      <c r="E66" s="123"/>
      <c r="F66" s="123">
        <v>0</v>
      </c>
      <c r="G66" s="123"/>
      <c r="H66" s="123"/>
      <c r="I66" s="123">
        <v>0</v>
      </c>
      <c r="J66" s="123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5"/>
    </row>
    <row r="67" spans="1:23" ht="15.5" x14ac:dyDescent="0.35">
      <c r="A67" s="126">
        <v>64</v>
      </c>
      <c r="B67" s="116" t="str">
        <f>IFERROR(VLOOKUP(C67,'DAFTAR NAMA PRAMUDI'!C:D,2,FALSE),"0")</f>
        <v>0</v>
      </c>
      <c r="C67" s="146">
        <v>17001971</v>
      </c>
      <c r="D67" s="123" t="s">
        <v>130</v>
      </c>
      <c r="E67" s="123"/>
      <c r="F67" s="123">
        <v>0</v>
      </c>
      <c r="G67" s="123"/>
      <c r="H67" s="123"/>
      <c r="I67" s="123">
        <v>0</v>
      </c>
      <c r="J67" s="123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5"/>
    </row>
    <row r="68" spans="1:23" ht="39" x14ac:dyDescent="0.35">
      <c r="A68" s="133">
        <v>65</v>
      </c>
      <c r="B68" s="116" t="str">
        <f>IFERROR(VLOOKUP(C68,'DAFTAR NAMA PRAMUDI'!C:D,2,FALSE),"0")</f>
        <v>Mashuri</v>
      </c>
      <c r="C68" s="145">
        <v>17000971</v>
      </c>
      <c r="D68" s="123"/>
      <c r="E68" s="123" t="s">
        <v>186</v>
      </c>
      <c r="F68" s="123">
        <v>1</v>
      </c>
      <c r="G68" s="123">
        <v>1</v>
      </c>
      <c r="H68" s="123" t="s">
        <v>235</v>
      </c>
      <c r="I68" s="123">
        <v>2</v>
      </c>
      <c r="J68" s="123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5"/>
    </row>
    <row r="69" spans="1:23" ht="15.5" x14ac:dyDescent="0.35">
      <c r="A69" s="126">
        <v>66</v>
      </c>
      <c r="B69" s="116" t="str">
        <f>IFERROR(VLOOKUP(C69,'DAFTAR NAMA PRAMUDI'!C:D,2,FALSE),"0")</f>
        <v>Milyadi</v>
      </c>
      <c r="C69" s="146">
        <v>17001078</v>
      </c>
      <c r="D69" s="123" t="s">
        <v>151</v>
      </c>
      <c r="E69" s="123"/>
      <c r="F69" s="123">
        <v>0</v>
      </c>
      <c r="G69" s="123"/>
      <c r="H69" s="123"/>
      <c r="I69" s="123">
        <v>0</v>
      </c>
      <c r="J69" s="123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5"/>
    </row>
    <row r="70" spans="1:23" ht="26" x14ac:dyDescent="0.35">
      <c r="A70" s="128">
        <v>67</v>
      </c>
      <c r="B70" s="116" t="str">
        <f>IFERROR(VLOOKUP(C70,'DAFTAR NAMA PRAMUDI'!C:D,2,FALSE),"0")</f>
        <v>Moch Jenni</v>
      </c>
      <c r="C70" s="146">
        <v>17000603</v>
      </c>
      <c r="D70" s="123"/>
      <c r="E70" s="123" t="s">
        <v>262</v>
      </c>
      <c r="F70" s="123">
        <v>1</v>
      </c>
      <c r="G70" s="123"/>
      <c r="H70" s="123"/>
      <c r="I70" s="123">
        <v>0</v>
      </c>
      <c r="J70" s="123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5"/>
    </row>
    <row r="71" spans="1:23" ht="26" x14ac:dyDescent="0.35">
      <c r="A71" s="137">
        <v>68</v>
      </c>
      <c r="B71" s="116" t="str">
        <f>IFERROR(VLOOKUP(C71,'DAFTAR NAMA PRAMUDI'!C:D,2,FALSE),"0")</f>
        <v>Moh. Abdul Kholiq</v>
      </c>
      <c r="C71" s="147">
        <v>17000699</v>
      </c>
      <c r="D71" s="189" t="s">
        <v>168</v>
      </c>
      <c r="E71" s="189" t="s">
        <v>217</v>
      </c>
      <c r="F71" s="123">
        <v>1</v>
      </c>
      <c r="G71" s="123">
        <v>1</v>
      </c>
      <c r="H71" s="189" t="s">
        <v>242</v>
      </c>
      <c r="I71" s="123">
        <v>2</v>
      </c>
      <c r="J71" s="123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5"/>
    </row>
    <row r="72" spans="1:23" ht="15.5" x14ac:dyDescent="0.35">
      <c r="A72" s="128">
        <v>69</v>
      </c>
      <c r="B72" s="116" t="str">
        <f>IFERROR(VLOOKUP(C72,'DAFTAR NAMA PRAMUDI'!C:D,2,FALSE),"0")</f>
        <v xml:space="preserve">Muflih </v>
      </c>
      <c r="C72" s="146">
        <v>17000778</v>
      </c>
      <c r="D72" s="123"/>
      <c r="E72" s="123"/>
      <c r="F72" s="123">
        <v>0</v>
      </c>
      <c r="G72" s="123"/>
      <c r="H72" s="123"/>
      <c r="I72" s="123">
        <v>0</v>
      </c>
      <c r="J72" s="123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5"/>
    </row>
    <row r="73" spans="1:23" ht="31" x14ac:dyDescent="0.35">
      <c r="A73" s="126">
        <v>70</v>
      </c>
      <c r="B73" s="116" t="str">
        <f>IFERROR(VLOOKUP(C73,'DAFTAR NAMA PRAMUDI'!C:D,2,FALSE),"0")</f>
        <v>Muh Viky Ardian Priambodo</v>
      </c>
      <c r="C73" s="146">
        <v>17001611</v>
      </c>
      <c r="D73" s="123"/>
      <c r="E73" s="123" t="s">
        <v>188</v>
      </c>
      <c r="F73" s="123">
        <v>1</v>
      </c>
      <c r="G73" s="123">
        <v>1</v>
      </c>
      <c r="H73" s="123"/>
      <c r="I73" s="123">
        <v>0</v>
      </c>
      <c r="J73" s="123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5"/>
    </row>
    <row r="74" spans="1:23" ht="26" x14ac:dyDescent="0.35">
      <c r="A74" s="128">
        <v>71</v>
      </c>
      <c r="B74" s="116" t="str">
        <f>IFERROR(VLOOKUP(C74,'DAFTAR NAMA PRAMUDI'!C:D,2,FALSE),"0")</f>
        <v>Muhalik</v>
      </c>
      <c r="C74" s="146">
        <v>17001156</v>
      </c>
      <c r="D74" s="123" t="s">
        <v>172</v>
      </c>
      <c r="E74" s="123" t="s">
        <v>250</v>
      </c>
      <c r="F74" s="123">
        <v>1</v>
      </c>
      <c r="G74" s="123"/>
      <c r="H74" s="123" t="s">
        <v>273</v>
      </c>
      <c r="I74" s="123">
        <v>1</v>
      </c>
      <c r="J74" s="123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5"/>
    </row>
    <row r="75" spans="1:23" ht="15.5" x14ac:dyDescent="0.35">
      <c r="A75" s="137">
        <v>72</v>
      </c>
      <c r="B75" s="116" t="str">
        <f>IFERROR(VLOOKUP(C75,'DAFTAR NAMA PRAMUDI'!C:D,2,FALSE),"0")</f>
        <v>Muhamad Hasan</v>
      </c>
      <c r="C75" s="145">
        <v>17001109</v>
      </c>
      <c r="D75" s="123"/>
      <c r="E75" s="123"/>
      <c r="F75" s="123">
        <v>0</v>
      </c>
      <c r="G75" s="123"/>
      <c r="H75" s="123"/>
      <c r="I75" s="123">
        <v>0</v>
      </c>
      <c r="J75" s="123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5"/>
    </row>
    <row r="76" spans="1:23" ht="31" x14ac:dyDescent="0.35">
      <c r="A76" s="128">
        <v>73</v>
      </c>
      <c r="B76" s="116" t="str">
        <f>IFERROR(VLOOKUP(C76,'DAFTAR NAMA PRAMUDI'!C:D,2,FALSE),"0")</f>
        <v>Muhammad Faezal Aprianur</v>
      </c>
      <c r="C76" s="146">
        <v>17001552</v>
      </c>
      <c r="D76" s="123" t="s">
        <v>138</v>
      </c>
      <c r="E76" s="123"/>
      <c r="F76" s="123">
        <v>0</v>
      </c>
      <c r="G76" s="123"/>
      <c r="H76" s="123"/>
      <c r="I76" s="123">
        <v>0</v>
      </c>
      <c r="J76" s="123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5"/>
    </row>
    <row r="77" spans="1:23" ht="15.5" x14ac:dyDescent="0.35">
      <c r="A77" s="137">
        <v>74</v>
      </c>
      <c r="B77" s="116" t="str">
        <f>IFERROR(VLOOKUP(C77,'DAFTAR NAMA PRAMUDI'!C:D,2,FALSE),"0")</f>
        <v>0</v>
      </c>
      <c r="C77" s="145">
        <v>17001405</v>
      </c>
      <c r="D77" s="123"/>
      <c r="E77" s="123"/>
      <c r="F77" s="123">
        <v>0</v>
      </c>
      <c r="G77" s="123"/>
      <c r="H77" s="123"/>
      <c r="I77" s="123">
        <v>0</v>
      </c>
      <c r="J77" s="123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5"/>
    </row>
    <row r="78" spans="1:23" s="196" customFormat="1" ht="15.5" x14ac:dyDescent="0.35">
      <c r="A78" s="191">
        <v>75</v>
      </c>
      <c r="B78" s="116" t="str">
        <f>IFERROR(VLOOKUP(C78,'DAFTAR NAMA PRAMUDI'!C:D,2,FALSE),"0")</f>
        <v>Muslimin</v>
      </c>
      <c r="C78" s="192">
        <v>17001527</v>
      </c>
      <c r="D78" s="193"/>
      <c r="E78" s="193"/>
      <c r="F78" s="193">
        <v>0</v>
      </c>
      <c r="G78" s="193"/>
      <c r="H78" s="193"/>
      <c r="I78" s="193">
        <v>0</v>
      </c>
      <c r="J78" s="193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5"/>
    </row>
    <row r="79" spans="1:23" ht="39" x14ac:dyDescent="0.35">
      <c r="A79" s="126">
        <v>76</v>
      </c>
      <c r="B79" s="116" t="str">
        <f>IFERROR(VLOOKUP(C79,'DAFTAR NAMA PRAMUDI'!C:D,2,FALSE),"0")</f>
        <v>Nofrial</v>
      </c>
      <c r="C79" s="146">
        <v>831111895</v>
      </c>
      <c r="D79" s="123"/>
      <c r="E79" s="123"/>
      <c r="F79" s="123">
        <v>0</v>
      </c>
      <c r="G79" s="123"/>
      <c r="H79" s="123" t="s">
        <v>271</v>
      </c>
      <c r="I79" s="123">
        <v>2</v>
      </c>
      <c r="J79" s="123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5"/>
    </row>
    <row r="80" spans="1:23" ht="26" x14ac:dyDescent="0.35">
      <c r="A80" s="128">
        <v>77</v>
      </c>
      <c r="B80" s="116" t="str">
        <f>IFERROR(VLOOKUP(C80,'DAFTAR NAMA PRAMUDI'!C:D,2,FALSE),"0")</f>
        <v>Nur Rohim</v>
      </c>
      <c r="C80" s="144">
        <v>820811526</v>
      </c>
      <c r="D80" s="124"/>
      <c r="E80" s="124" t="s">
        <v>184</v>
      </c>
      <c r="F80" s="124">
        <v>1</v>
      </c>
      <c r="G80" s="124">
        <v>1</v>
      </c>
      <c r="H80" s="122"/>
      <c r="I80" s="122">
        <v>0</v>
      </c>
      <c r="J80" s="122"/>
      <c r="K80" s="122"/>
      <c r="L80" s="122"/>
      <c r="M80" s="122"/>
      <c r="N80" s="123"/>
      <c r="O80" s="123"/>
      <c r="P80" s="123"/>
      <c r="Q80" s="123"/>
      <c r="R80" s="123"/>
      <c r="S80" s="123"/>
      <c r="T80" s="123"/>
      <c r="U80" s="123"/>
      <c r="V80" s="123"/>
      <c r="W80" s="125"/>
    </row>
    <row r="81" spans="1:23" ht="15.5" x14ac:dyDescent="0.35">
      <c r="A81" s="126">
        <v>78</v>
      </c>
      <c r="B81" s="116" t="str">
        <f>IFERROR(VLOOKUP(C81,'DAFTAR NAMA PRAMUDI'!C:D,2,FALSE),"0")</f>
        <v>Pardamean Sihombing</v>
      </c>
      <c r="C81" s="144">
        <v>17001170</v>
      </c>
      <c r="D81" s="123" t="s">
        <v>132</v>
      </c>
      <c r="E81" s="123"/>
      <c r="F81" s="123">
        <v>0</v>
      </c>
      <c r="G81" s="123"/>
      <c r="H81" s="123"/>
      <c r="I81" s="123">
        <v>0</v>
      </c>
      <c r="J81" s="123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5"/>
    </row>
    <row r="82" spans="1:23" ht="15.5" x14ac:dyDescent="0.35">
      <c r="A82" s="128">
        <v>79</v>
      </c>
      <c r="B82" s="116" t="str">
        <f>IFERROR(VLOOKUP(C82,'DAFTAR NAMA PRAMUDI'!C:D,2,FALSE),"0")</f>
        <v>Pipin Avrianto</v>
      </c>
      <c r="C82" s="149">
        <v>17000422</v>
      </c>
      <c r="D82" s="123" t="s">
        <v>255</v>
      </c>
      <c r="E82" s="123" t="s">
        <v>254</v>
      </c>
      <c r="F82" s="123">
        <v>0</v>
      </c>
      <c r="G82" s="123"/>
      <c r="H82" s="123"/>
      <c r="I82" s="123">
        <v>0</v>
      </c>
      <c r="J82" s="123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5"/>
    </row>
    <row r="83" spans="1:23" ht="15.5" x14ac:dyDescent="0.35">
      <c r="A83" s="135">
        <v>80</v>
      </c>
      <c r="B83" s="116" t="str">
        <f>IFERROR(VLOOKUP(C83,'DAFTAR NAMA PRAMUDI'!C:D,2,FALSE),"0")</f>
        <v>Parlindungan s</v>
      </c>
      <c r="C83" s="144">
        <v>17000868</v>
      </c>
      <c r="D83" s="149"/>
      <c r="E83" s="122" t="s">
        <v>178</v>
      </c>
      <c r="F83" s="122">
        <v>1</v>
      </c>
      <c r="G83" s="122">
        <v>1</v>
      </c>
      <c r="H83" s="122"/>
      <c r="I83" s="122">
        <v>0</v>
      </c>
      <c r="J83" s="122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5"/>
    </row>
    <row r="84" spans="1:23" ht="15.5" x14ac:dyDescent="0.35">
      <c r="A84" s="128">
        <v>81</v>
      </c>
      <c r="B84" s="116" t="str">
        <f>IFERROR(VLOOKUP(C84,'DAFTAR NAMA PRAMUDI'!C:D,2,FALSE),"0")</f>
        <v>Posman H</v>
      </c>
      <c r="C84" s="144">
        <v>17000864</v>
      </c>
      <c r="D84" s="123"/>
      <c r="E84" s="123"/>
      <c r="F84" s="123">
        <v>0</v>
      </c>
      <c r="G84" s="123"/>
      <c r="H84" s="123"/>
      <c r="I84" s="123">
        <v>0</v>
      </c>
      <c r="J84" s="123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5"/>
    </row>
    <row r="85" spans="1:23" ht="15.5" x14ac:dyDescent="0.35">
      <c r="A85" s="126">
        <v>82</v>
      </c>
      <c r="B85" s="116" t="str">
        <f>IFERROR(VLOOKUP(C85,'DAFTAR NAMA PRAMUDI'!C:D,2,FALSE),"0")</f>
        <v>Putra Pranata</v>
      </c>
      <c r="C85" s="146">
        <v>17000557</v>
      </c>
      <c r="D85" s="123"/>
      <c r="E85" s="123"/>
      <c r="F85" s="123">
        <v>0</v>
      </c>
      <c r="G85" s="123"/>
      <c r="H85" s="123"/>
      <c r="I85" s="123">
        <v>0</v>
      </c>
      <c r="J85" s="123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5"/>
    </row>
    <row r="86" spans="1:23" ht="15.5" x14ac:dyDescent="0.35">
      <c r="A86" s="120">
        <v>83</v>
      </c>
      <c r="B86" s="116" t="str">
        <f>IFERROR(VLOOKUP(C86,'DAFTAR NAMA PRAMUDI'!C:D,2,FALSE),"0")</f>
        <v>Remondo H</v>
      </c>
      <c r="C86" s="142">
        <v>17001150</v>
      </c>
      <c r="D86" s="123" t="s">
        <v>141</v>
      </c>
      <c r="E86" s="123"/>
      <c r="F86" s="123">
        <v>0</v>
      </c>
      <c r="G86" s="123"/>
      <c r="H86" s="123"/>
      <c r="I86" s="123">
        <v>0</v>
      </c>
      <c r="J86" s="123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5"/>
    </row>
    <row r="87" spans="1:23" ht="15.5" x14ac:dyDescent="0.35">
      <c r="A87" s="131">
        <v>84</v>
      </c>
      <c r="B87" s="116" t="str">
        <f>IFERROR(VLOOKUP(C87,'DAFTAR NAMA PRAMUDI'!C:D,2,FALSE),"0")</f>
        <v>Rezaldy Putra</v>
      </c>
      <c r="C87" s="150">
        <v>17001344</v>
      </c>
      <c r="D87" s="123"/>
      <c r="E87" s="123"/>
      <c r="F87" s="123">
        <v>0</v>
      </c>
      <c r="G87" s="123"/>
      <c r="H87" s="123"/>
      <c r="I87" s="123">
        <v>0</v>
      </c>
      <c r="J87" s="123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5"/>
    </row>
    <row r="88" spans="1:23" ht="15.5" x14ac:dyDescent="0.35">
      <c r="A88" s="120">
        <v>85</v>
      </c>
      <c r="B88" s="116" t="str">
        <f>IFERROR(VLOOKUP(C88,'DAFTAR NAMA PRAMUDI'!C:D,2,FALSE),"0")</f>
        <v>Roni P</v>
      </c>
      <c r="C88" s="142">
        <v>17001407</v>
      </c>
      <c r="D88" s="123" t="s">
        <v>128</v>
      </c>
      <c r="E88" s="123"/>
      <c r="F88" s="123">
        <v>0</v>
      </c>
      <c r="G88" s="123"/>
      <c r="H88" s="123"/>
      <c r="I88" s="123">
        <v>0</v>
      </c>
      <c r="J88" s="123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5"/>
    </row>
    <row r="89" spans="1:23" ht="15.5" x14ac:dyDescent="0.35">
      <c r="A89" s="137">
        <v>86</v>
      </c>
      <c r="B89" s="116" t="str">
        <f>IFERROR(VLOOKUP(C89,'DAFTAR NAMA PRAMUDI'!C:D,2,FALSE),"0")</f>
        <v>0</v>
      </c>
      <c r="C89" s="145">
        <v>17001970</v>
      </c>
      <c r="D89" s="123"/>
      <c r="E89" s="123"/>
      <c r="F89" s="123">
        <v>0</v>
      </c>
      <c r="G89" s="123"/>
      <c r="H89" s="123"/>
      <c r="I89" s="123">
        <v>0</v>
      </c>
      <c r="J89" s="123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5"/>
    </row>
    <row r="90" spans="1:23" ht="15.5" x14ac:dyDescent="0.35">
      <c r="A90" s="133">
        <v>87</v>
      </c>
      <c r="B90" s="116" t="str">
        <f>IFERROR(VLOOKUP(C90,'DAFTAR NAMA PRAMUDI'!C:D,2,FALSE),"0")</f>
        <v>Rudi</v>
      </c>
      <c r="C90" s="145">
        <v>17001362</v>
      </c>
      <c r="D90" s="123" t="s">
        <v>133</v>
      </c>
      <c r="E90" s="123"/>
      <c r="F90" s="123">
        <v>0</v>
      </c>
      <c r="G90" s="123"/>
      <c r="H90" s="123"/>
      <c r="I90" s="123">
        <v>0</v>
      </c>
      <c r="J90" s="123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5"/>
    </row>
    <row r="91" spans="1:23" ht="15.5" x14ac:dyDescent="0.35">
      <c r="A91" s="137">
        <v>88</v>
      </c>
      <c r="B91" s="116" t="str">
        <f>IFERROR(VLOOKUP(C91,'DAFTAR NAMA PRAMUDI'!C:D,2,FALSE),"0")</f>
        <v>Rudi</v>
      </c>
      <c r="C91" s="147">
        <v>17001362</v>
      </c>
      <c r="D91" s="123" t="s">
        <v>134</v>
      </c>
      <c r="E91" s="123"/>
      <c r="F91" s="123">
        <v>0</v>
      </c>
      <c r="G91" s="123"/>
      <c r="H91" s="123"/>
      <c r="I91" s="123">
        <v>0</v>
      </c>
      <c r="J91" s="123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5"/>
    </row>
    <row r="92" spans="1:23" ht="26" x14ac:dyDescent="0.35">
      <c r="A92" s="133">
        <v>89</v>
      </c>
      <c r="B92" s="116" t="str">
        <f>IFERROR(VLOOKUP(C92,'DAFTAR NAMA PRAMUDI'!C:D,2,FALSE),"0")</f>
        <v>Samuji</v>
      </c>
      <c r="C92" s="145">
        <v>7709120211</v>
      </c>
      <c r="D92" s="123" t="s">
        <v>153</v>
      </c>
      <c r="E92" s="123"/>
      <c r="F92" s="123">
        <v>0</v>
      </c>
      <c r="G92" s="123"/>
      <c r="H92" s="123" t="s">
        <v>287</v>
      </c>
      <c r="I92" s="123">
        <v>1</v>
      </c>
      <c r="J92" s="123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5"/>
    </row>
    <row r="93" spans="1:23" ht="15.5" x14ac:dyDescent="0.35">
      <c r="A93" s="126">
        <v>90</v>
      </c>
      <c r="B93" s="116" t="str">
        <f>IFERROR(VLOOKUP(C93,'DAFTAR NAMA PRAMUDI'!C:D,2,FALSE),"0")</f>
        <v>Samuji</v>
      </c>
      <c r="C93" s="146">
        <v>7709120211</v>
      </c>
      <c r="D93" s="122"/>
      <c r="E93" s="123" t="s">
        <v>191</v>
      </c>
      <c r="F93" s="123">
        <v>1</v>
      </c>
      <c r="G93" s="123">
        <v>1</v>
      </c>
      <c r="H93" s="123"/>
      <c r="I93" s="123">
        <v>0</v>
      </c>
      <c r="J93" s="123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5"/>
    </row>
    <row r="94" spans="1:23" ht="26" x14ac:dyDescent="0.35">
      <c r="A94" s="133">
        <v>91</v>
      </c>
      <c r="B94" s="116" t="str">
        <f>IFERROR(VLOOKUP(C94,'DAFTAR NAMA PRAMUDI'!C:D,2,FALSE),"0")</f>
        <v>Sangidul Mansyur .A</v>
      </c>
      <c r="C94" s="146">
        <v>7812120066</v>
      </c>
      <c r="D94" s="123" t="s">
        <v>146</v>
      </c>
      <c r="E94" s="123" t="s">
        <v>198</v>
      </c>
      <c r="F94" s="123">
        <v>1</v>
      </c>
      <c r="G94" s="123">
        <v>1</v>
      </c>
      <c r="H94" s="123"/>
      <c r="I94" s="123">
        <v>0</v>
      </c>
      <c r="J94" s="123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5"/>
    </row>
    <row r="95" spans="1:23" ht="26" x14ac:dyDescent="0.35">
      <c r="A95" s="126">
        <v>92</v>
      </c>
      <c r="B95" s="116" t="str">
        <f>IFERROR(VLOOKUP(C95,'DAFTAR NAMA PRAMUDI'!C:D,2,FALSE),"0")</f>
        <v>Sobur</v>
      </c>
      <c r="C95" s="151">
        <v>17000795</v>
      </c>
      <c r="D95" s="123"/>
      <c r="E95" s="123"/>
      <c r="F95" s="123">
        <v>1</v>
      </c>
      <c r="G95" s="123"/>
      <c r="H95" s="123" t="s">
        <v>285</v>
      </c>
      <c r="I95" s="123">
        <v>1</v>
      </c>
      <c r="J95" s="123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5"/>
    </row>
    <row r="96" spans="1:23" ht="26" x14ac:dyDescent="0.35">
      <c r="A96" s="133">
        <v>93</v>
      </c>
      <c r="B96" s="116" t="str">
        <f>IFERROR(VLOOKUP(C96,'DAFTAR NAMA PRAMUDI'!C:D,2,FALSE),"0")</f>
        <v>0</v>
      </c>
      <c r="C96" s="152">
        <v>17001032</v>
      </c>
      <c r="D96" s="123"/>
      <c r="E96" s="123" t="s">
        <v>183</v>
      </c>
      <c r="F96" s="123">
        <v>1</v>
      </c>
      <c r="G96" s="123">
        <v>1</v>
      </c>
      <c r="H96" s="123"/>
      <c r="I96" s="123">
        <v>0</v>
      </c>
      <c r="J96" s="123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5"/>
    </row>
    <row r="97" spans="1:23" ht="15.5" x14ac:dyDescent="0.35">
      <c r="A97" s="135">
        <v>94</v>
      </c>
      <c r="B97" s="116" t="str">
        <f>IFERROR(VLOOKUP(C97,'DAFTAR NAMA PRAMUDI'!C:D,2,FALSE),"0")</f>
        <v>Sony Bin Sakam</v>
      </c>
      <c r="C97" s="153">
        <v>17001018</v>
      </c>
      <c r="D97" s="123"/>
      <c r="E97" s="123"/>
      <c r="F97" s="123">
        <v>0</v>
      </c>
      <c r="G97" s="123"/>
      <c r="H97" s="123"/>
      <c r="I97" s="123">
        <v>0</v>
      </c>
      <c r="J97" s="123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5"/>
    </row>
    <row r="98" spans="1:23" ht="15.5" x14ac:dyDescent="0.35">
      <c r="A98" s="120">
        <v>95</v>
      </c>
      <c r="B98" s="116" t="str">
        <f>IFERROR(VLOOKUP(C98,'DAFTAR NAMA PRAMUDI'!C:D,2,FALSE),"0")</f>
        <v>Sugianto</v>
      </c>
      <c r="C98" s="153">
        <v>17000899</v>
      </c>
      <c r="D98" s="123" t="s">
        <v>137</v>
      </c>
      <c r="E98" s="123" t="s">
        <v>202</v>
      </c>
      <c r="F98" s="123">
        <v>1</v>
      </c>
      <c r="G98" s="123">
        <v>1</v>
      </c>
      <c r="H98" s="123"/>
      <c r="I98" s="123">
        <v>0</v>
      </c>
      <c r="J98" s="123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5"/>
    </row>
    <row r="99" spans="1:23" ht="26" x14ac:dyDescent="0.35">
      <c r="A99" s="131">
        <v>96</v>
      </c>
      <c r="B99" s="116" t="str">
        <f>IFERROR(VLOOKUP(C99,'DAFTAR NAMA PRAMUDI'!C:D,2,FALSE),"0")</f>
        <v xml:space="preserve">Sugiman </v>
      </c>
      <c r="C99" s="154">
        <v>17000737</v>
      </c>
      <c r="D99" s="123" t="s">
        <v>165</v>
      </c>
      <c r="E99" s="123" t="s">
        <v>185</v>
      </c>
      <c r="F99" s="123">
        <v>2</v>
      </c>
      <c r="G99" s="123">
        <v>2</v>
      </c>
      <c r="H99" s="123"/>
      <c r="I99" s="123">
        <v>0</v>
      </c>
      <c r="J99" s="123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5"/>
    </row>
    <row r="100" spans="1:23" ht="15.5" x14ac:dyDescent="0.35">
      <c r="A100" s="128">
        <v>97</v>
      </c>
      <c r="B100" s="116" t="str">
        <f>IFERROR(VLOOKUP(C100,'DAFTAR NAMA PRAMUDI'!C:D,2,FALSE),"0")</f>
        <v>Suhendi</v>
      </c>
      <c r="C100" s="155">
        <v>7813120477</v>
      </c>
      <c r="D100" s="123"/>
      <c r="E100" s="123"/>
      <c r="F100" s="123">
        <v>0</v>
      </c>
      <c r="G100" s="123"/>
      <c r="H100" s="123"/>
      <c r="I100" s="123">
        <v>0</v>
      </c>
      <c r="J100" s="123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5"/>
    </row>
    <row r="101" spans="1:23" ht="26" x14ac:dyDescent="0.35">
      <c r="A101" s="126">
        <v>98</v>
      </c>
      <c r="B101" s="116" t="str">
        <f>IFERROR(VLOOKUP(C101,'DAFTAR NAMA PRAMUDI'!C:D,2,FALSE),"0")</f>
        <v>Suherman</v>
      </c>
      <c r="C101" s="130">
        <v>17001009</v>
      </c>
      <c r="D101" s="123"/>
      <c r="E101" s="123" t="s">
        <v>176</v>
      </c>
      <c r="F101" s="123">
        <v>1</v>
      </c>
      <c r="G101" s="123">
        <v>1</v>
      </c>
      <c r="H101" s="123"/>
      <c r="I101" s="123">
        <v>0</v>
      </c>
      <c r="J101" s="123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5"/>
    </row>
    <row r="102" spans="1:23" ht="35.25" customHeight="1" x14ac:dyDescent="0.35">
      <c r="A102" s="128">
        <v>99</v>
      </c>
      <c r="B102" s="116" t="str">
        <f>IFERROR(VLOOKUP(C102,'DAFTAR NAMA PRAMUDI'!C:D,2,FALSE),"0")</f>
        <v>Sujeni</v>
      </c>
      <c r="C102" s="146">
        <v>17001364</v>
      </c>
      <c r="D102" s="189" t="s">
        <v>162</v>
      </c>
      <c r="E102" s="189" t="s">
        <v>194</v>
      </c>
      <c r="F102" s="123">
        <v>0</v>
      </c>
      <c r="G102" s="123">
        <v>1</v>
      </c>
      <c r="H102" s="189" t="s">
        <v>232</v>
      </c>
      <c r="I102" s="123">
        <v>1</v>
      </c>
      <c r="J102" s="123"/>
      <c r="K102" s="124"/>
      <c r="L102" s="124"/>
      <c r="M102" s="124"/>
      <c r="N102" s="124"/>
      <c r="O102" s="124"/>
      <c r="P102" s="124"/>
      <c r="Q102" s="122"/>
      <c r="R102" s="122"/>
      <c r="S102" s="122"/>
      <c r="T102" s="122"/>
      <c r="U102" s="122"/>
      <c r="V102" s="122"/>
      <c r="W102" s="125"/>
    </row>
    <row r="103" spans="1:23" ht="26" x14ac:dyDescent="0.35">
      <c r="A103" s="137">
        <v>100</v>
      </c>
      <c r="B103" s="116" t="str">
        <f>IFERROR(VLOOKUP(C103,'DAFTAR NAMA PRAMUDI'!C:D,2,FALSE),"0")</f>
        <v>Sukarno</v>
      </c>
      <c r="C103" s="145">
        <v>17000738</v>
      </c>
      <c r="D103" s="123"/>
      <c r="E103" s="123"/>
      <c r="F103" s="123">
        <v>0</v>
      </c>
      <c r="G103" s="123"/>
      <c r="H103" s="123" t="s">
        <v>238</v>
      </c>
      <c r="I103" s="123">
        <v>1</v>
      </c>
      <c r="J103" s="123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5"/>
    </row>
    <row r="104" spans="1:23" ht="15.5" x14ac:dyDescent="0.35">
      <c r="A104" s="128">
        <v>101</v>
      </c>
      <c r="B104" s="116" t="str">
        <f>IFERROR(VLOOKUP(C104,'DAFTAR NAMA PRAMUDI'!C:D,2,FALSE),"0")</f>
        <v xml:space="preserve">Sumardi </v>
      </c>
      <c r="C104" s="146">
        <v>17001053</v>
      </c>
      <c r="D104" s="123"/>
      <c r="E104" s="123"/>
      <c r="F104" s="123">
        <v>0</v>
      </c>
      <c r="G104" s="123"/>
      <c r="H104" s="123"/>
      <c r="I104" s="123">
        <v>0</v>
      </c>
      <c r="J104" s="123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5"/>
    </row>
    <row r="105" spans="1:23" ht="15.5" x14ac:dyDescent="0.35">
      <c r="A105" s="126">
        <v>102</v>
      </c>
      <c r="B105" s="116" t="str">
        <f>IFERROR(VLOOKUP(C105,'DAFTAR NAMA PRAMUDI'!C:D,2,FALSE),"0")</f>
        <v>SUPARDI</v>
      </c>
      <c r="C105" s="146">
        <v>720510945</v>
      </c>
      <c r="D105" s="123"/>
      <c r="E105" s="123"/>
      <c r="F105" s="123">
        <v>0</v>
      </c>
      <c r="G105" s="123"/>
      <c r="H105" s="123"/>
      <c r="I105" s="123">
        <v>0</v>
      </c>
      <c r="J105" s="123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5"/>
    </row>
    <row r="106" spans="1:23" ht="15.5" x14ac:dyDescent="0.35">
      <c r="A106" s="128">
        <v>103</v>
      </c>
      <c r="B106" s="116" t="str">
        <f>IFERROR(VLOOKUP(C106,'DAFTAR NAMA PRAMUDI'!C:D,2,FALSE),"0")</f>
        <v>Tagor Harahap</v>
      </c>
      <c r="C106" s="146">
        <v>17000670</v>
      </c>
      <c r="D106" s="123"/>
      <c r="E106" s="123"/>
      <c r="F106" s="123">
        <v>0</v>
      </c>
      <c r="G106" s="123"/>
      <c r="H106" s="123"/>
      <c r="I106" s="123">
        <v>0</v>
      </c>
      <c r="J106" s="123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5"/>
    </row>
    <row r="107" spans="1:23" ht="26" x14ac:dyDescent="0.35">
      <c r="A107" s="137">
        <v>104</v>
      </c>
      <c r="B107" s="116" t="str">
        <f>IFERROR(VLOOKUP(C107,'DAFTAR NAMA PRAMUDI'!C:D,2,FALSE),"0")</f>
        <v>Taufik</v>
      </c>
      <c r="C107" s="145">
        <v>17001033</v>
      </c>
      <c r="D107" s="123" t="s">
        <v>169</v>
      </c>
      <c r="E107" s="123" t="s">
        <v>211</v>
      </c>
      <c r="F107" s="123">
        <v>1</v>
      </c>
      <c r="G107" s="123">
        <v>1</v>
      </c>
      <c r="H107" s="123"/>
      <c r="I107" s="123">
        <v>0</v>
      </c>
      <c r="J107" s="123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5"/>
    </row>
    <row r="108" spans="1:23" ht="26" x14ac:dyDescent="0.35">
      <c r="A108" s="128">
        <v>105</v>
      </c>
      <c r="B108" s="116" t="str">
        <f>IFERROR(VLOOKUP(C108,'DAFTAR NAMA PRAMUDI'!C:D,2,FALSE),"0")</f>
        <v>Thorikin</v>
      </c>
      <c r="C108" s="146">
        <v>17000894</v>
      </c>
      <c r="D108" s="123"/>
      <c r="E108" s="123" t="s">
        <v>177</v>
      </c>
      <c r="F108" s="123">
        <v>1</v>
      </c>
      <c r="G108" s="123">
        <v>1</v>
      </c>
      <c r="H108" s="123"/>
      <c r="I108" s="123">
        <v>0</v>
      </c>
      <c r="J108" s="123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5"/>
    </row>
    <row r="109" spans="1:23" ht="15.5" x14ac:dyDescent="0.35">
      <c r="A109" s="126">
        <v>106</v>
      </c>
      <c r="B109" s="116" t="str">
        <f>IFERROR(VLOOKUP(C109,'DAFTAR NAMA PRAMUDI'!C:D,2,FALSE),"0")</f>
        <v>Timbul Sinaga</v>
      </c>
      <c r="C109" s="144">
        <v>699710205</v>
      </c>
      <c r="D109" s="123"/>
      <c r="E109" s="123"/>
      <c r="F109" s="123">
        <v>0</v>
      </c>
      <c r="G109" s="123"/>
      <c r="H109" s="123"/>
      <c r="I109" s="123">
        <v>0</v>
      </c>
      <c r="J109" s="123"/>
      <c r="K109" s="124"/>
      <c r="L109" s="124"/>
      <c r="M109" s="124"/>
      <c r="N109" s="124"/>
      <c r="O109" s="124"/>
      <c r="P109" s="124"/>
      <c r="Q109" s="122"/>
      <c r="R109" s="122"/>
      <c r="S109" s="122"/>
      <c r="T109" s="124"/>
      <c r="U109" s="124"/>
      <c r="V109" s="124"/>
      <c r="W109" s="125"/>
    </row>
    <row r="110" spans="1:23" ht="26" x14ac:dyDescent="0.35">
      <c r="A110" s="133">
        <v>107</v>
      </c>
      <c r="B110" s="116" t="str">
        <f>IFERROR(VLOOKUP(C110,'DAFTAR NAMA PRAMUDI'!C:D,2,FALSE),"0")</f>
        <v>Tjahya Adrianto</v>
      </c>
      <c r="C110" s="145">
        <v>17000827</v>
      </c>
      <c r="D110" s="123"/>
      <c r="E110" s="124" t="s">
        <v>200</v>
      </c>
      <c r="F110" s="124">
        <v>2</v>
      </c>
      <c r="G110" s="124">
        <v>2</v>
      </c>
      <c r="H110" s="124"/>
      <c r="I110" s="124">
        <v>0</v>
      </c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5"/>
    </row>
    <row r="111" spans="1:23" ht="26" x14ac:dyDescent="0.35">
      <c r="A111" s="137">
        <v>108</v>
      </c>
      <c r="B111" s="116" t="str">
        <f>IFERROR(VLOOKUP(C111,'DAFTAR NAMA PRAMUDI'!C:D,2,FALSE),"0")</f>
        <v>Toni Ichtiar</v>
      </c>
      <c r="C111" s="145">
        <v>17001365</v>
      </c>
      <c r="D111" s="123" t="s">
        <v>253</v>
      </c>
      <c r="E111" s="123"/>
      <c r="F111" s="123">
        <v>0</v>
      </c>
      <c r="G111" s="123"/>
      <c r="H111" s="123"/>
      <c r="I111" s="123"/>
      <c r="J111" s="123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5"/>
    </row>
    <row r="112" spans="1:23" ht="15.5" x14ac:dyDescent="0.35">
      <c r="A112" s="128">
        <v>109</v>
      </c>
      <c r="B112" s="116" t="str">
        <f>IFERROR(VLOOKUP(C112,'DAFTAR NAMA PRAMUDI'!C:D,2,FALSE),"0")</f>
        <v>Ude</v>
      </c>
      <c r="C112" s="146">
        <v>17001616</v>
      </c>
      <c r="D112" s="123"/>
      <c r="E112" s="124"/>
      <c r="F112" s="124">
        <v>0</v>
      </c>
      <c r="G112" s="124"/>
      <c r="H112" s="122"/>
      <c r="I112" s="122">
        <v>0</v>
      </c>
      <c r="J112" s="122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5"/>
    </row>
    <row r="113" spans="1:23" ht="15.5" x14ac:dyDescent="0.35">
      <c r="A113" s="131">
        <v>110</v>
      </c>
      <c r="B113" s="116" t="str">
        <f>IFERROR(VLOOKUP(C113,'DAFTAR NAMA PRAMUDI'!C:D,2,FALSE),"0")</f>
        <v>Usman Soleh</v>
      </c>
      <c r="C113" s="150">
        <v>17001566</v>
      </c>
      <c r="D113" s="123" t="s">
        <v>158</v>
      </c>
      <c r="E113" s="123"/>
      <c r="F113" s="123">
        <v>0</v>
      </c>
      <c r="G113" s="123"/>
      <c r="H113" s="123"/>
      <c r="I113" s="123">
        <v>0</v>
      </c>
      <c r="J113" s="123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5"/>
    </row>
    <row r="114" spans="1:23" ht="26" x14ac:dyDescent="0.35">
      <c r="A114" s="120">
        <v>111</v>
      </c>
      <c r="B114" s="116" t="str">
        <f>IFERROR(VLOOKUP(C114,'DAFTAR NAMA PRAMUDI'!C:D,2,FALSE),"0")</f>
        <v>0</v>
      </c>
      <c r="C114" s="144">
        <v>17001412</v>
      </c>
      <c r="D114" s="123" t="s">
        <v>144</v>
      </c>
      <c r="E114" s="123"/>
      <c r="F114" s="123">
        <v>0</v>
      </c>
      <c r="G114" s="123"/>
      <c r="H114" s="123"/>
      <c r="I114" s="123">
        <v>0</v>
      </c>
      <c r="J114" s="123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5"/>
    </row>
    <row r="115" spans="1:23" ht="26" x14ac:dyDescent="0.35">
      <c r="A115" s="126">
        <v>112</v>
      </c>
      <c r="B115" s="116" t="str">
        <f>IFERROR(VLOOKUP(C115,'DAFTAR NAMA PRAMUDI'!C:D,2,FALSE),"0")</f>
        <v>Uus Rusdi</v>
      </c>
      <c r="C115" s="142">
        <v>17001355</v>
      </c>
      <c r="D115" s="144"/>
      <c r="E115" s="123" t="s">
        <v>266</v>
      </c>
      <c r="F115" s="123">
        <v>1</v>
      </c>
      <c r="G115" s="123">
        <v>1</v>
      </c>
      <c r="H115" s="123" t="s">
        <v>249</v>
      </c>
      <c r="I115" s="123">
        <v>1</v>
      </c>
      <c r="J115" s="123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5"/>
    </row>
    <row r="116" spans="1:23" ht="15.5" x14ac:dyDescent="0.35">
      <c r="A116" s="133">
        <v>113</v>
      </c>
      <c r="B116" s="116" t="str">
        <f>IFERROR(VLOOKUP(C116,'DAFTAR NAMA PRAMUDI'!C:D,2,FALSE),"0")</f>
        <v>Wiji Gunadi</v>
      </c>
      <c r="C116" s="147">
        <v>17001049</v>
      </c>
      <c r="D116" s="123" t="s">
        <v>251</v>
      </c>
      <c r="E116" s="123"/>
      <c r="F116" s="123">
        <v>0</v>
      </c>
      <c r="G116" s="123"/>
      <c r="H116" s="123"/>
      <c r="I116" s="123">
        <v>0</v>
      </c>
      <c r="J116" s="123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5"/>
    </row>
    <row r="117" spans="1:23" ht="15.5" x14ac:dyDescent="0.35">
      <c r="A117" s="126">
        <v>114</v>
      </c>
      <c r="B117" s="116" t="str">
        <f>IFERROR(VLOOKUP(C117,'DAFTAR NAMA PRAMUDI'!C:D,2,FALSE),"0")</f>
        <v>Winaryo</v>
      </c>
      <c r="C117" s="146">
        <v>17000546</v>
      </c>
      <c r="D117" s="123" t="s">
        <v>154</v>
      </c>
      <c r="E117" s="123"/>
      <c r="F117" s="123">
        <v>0</v>
      </c>
      <c r="G117" s="123"/>
      <c r="H117" s="123"/>
      <c r="I117" s="123">
        <v>0</v>
      </c>
      <c r="J117" s="123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5"/>
    </row>
    <row r="118" spans="1:23" ht="15.5" x14ac:dyDescent="0.35">
      <c r="A118" s="128">
        <v>115</v>
      </c>
      <c r="B118" s="116" t="str">
        <f>IFERROR(VLOOKUP(C118,'DAFTAR NAMA PRAMUDI'!C:D,2,FALSE),"0")</f>
        <v>Yohanes T</v>
      </c>
      <c r="C118" s="146">
        <v>17000790</v>
      </c>
      <c r="D118" s="123"/>
      <c r="E118" s="123"/>
      <c r="F118" s="123">
        <v>0</v>
      </c>
      <c r="G118" s="123"/>
      <c r="H118" s="123" t="s">
        <v>272</v>
      </c>
      <c r="I118" s="123">
        <v>1</v>
      </c>
      <c r="J118" s="123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5"/>
    </row>
    <row r="119" spans="1:23" ht="15.5" x14ac:dyDescent="0.35">
      <c r="A119" s="126">
        <v>116</v>
      </c>
      <c r="B119" s="116" t="str">
        <f>IFERROR(VLOOKUP(C119,'DAFTAR NAMA PRAMUDI'!C:D,2,FALSE),"0")</f>
        <v>Yosi Febrian S</v>
      </c>
      <c r="C119" s="146">
        <v>17001068</v>
      </c>
      <c r="D119" s="123"/>
      <c r="E119" s="123"/>
      <c r="F119" s="123">
        <v>0</v>
      </c>
      <c r="G119" s="123"/>
      <c r="H119" s="123"/>
      <c r="I119" s="123">
        <v>0</v>
      </c>
      <c r="J119" s="123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5"/>
    </row>
    <row r="120" spans="1:23" ht="26" x14ac:dyDescent="0.35">
      <c r="A120" s="133">
        <v>117</v>
      </c>
      <c r="B120" s="116" t="str">
        <f>IFERROR(VLOOKUP(C120,'DAFTAR NAMA PRAMUDI'!C:D,2,FALSE),"0")</f>
        <v>0</v>
      </c>
      <c r="C120" s="145">
        <v>17000772</v>
      </c>
      <c r="D120" s="123" t="s">
        <v>252</v>
      </c>
      <c r="E120" s="188" t="s">
        <v>270</v>
      </c>
      <c r="F120" s="123">
        <v>1</v>
      </c>
      <c r="G120" s="123">
        <v>1</v>
      </c>
      <c r="H120" s="123"/>
      <c r="I120" s="123">
        <v>0</v>
      </c>
      <c r="J120" s="123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5"/>
    </row>
    <row r="121" spans="1:23" ht="15.5" x14ac:dyDescent="0.35">
      <c r="A121" s="126">
        <v>118</v>
      </c>
      <c r="B121" s="116" t="str">
        <f>IFERROR(VLOOKUP(C121,'DAFTAR NAMA PRAMUDI'!C:D,2,FALSE),"0")</f>
        <v>Yulianto</v>
      </c>
      <c r="C121" s="144">
        <v>17000883</v>
      </c>
      <c r="D121" s="123"/>
      <c r="E121" s="123"/>
      <c r="F121" s="123">
        <v>0</v>
      </c>
      <c r="G121" s="123"/>
      <c r="H121" s="123"/>
      <c r="I121" s="123">
        <v>0</v>
      </c>
      <c r="J121" s="123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5"/>
    </row>
    <row r="122" spans="1:23" ht="15.5" x14ac:dyDescent="0.35">
      <c r="A122" s="128">
        <v>119</v>
      </c>
      <c r="B122" s="116" t="str">
        <f>IFERROR(VLOOKUP(C122,'DAFTAR NAMA PRAMUDI'!C:D,2,FALSE),"0")</f>
        <v>Yulianto</v>
      </c>
      <c r="C122" s="146">
        <v>17000883</v>
      </c>
      <c r="D122" s="123"/>
      <c r="E122" s="123"/>
      <c r="F122" s="123">
        <v>0</v>
      </c>
      <c r="G122" s="123"/>
      <c r="H122" s="123"/>
      <c r="I122" s="123">
        <v>0</v>
      </c>
      <c r="J122" s="123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5"/>
    </row>
    <row r="123" spans="1:23" ht="26" x14ac:dyDescent="0.35">
      <c r="A123" s="135">
        <v>120</v>
      </c>
      <c r="B123" s="116" t="str">
        <f>IFERROR(VLOOKUP(C123,'DAFTAR NAMA PRAMUDI'!C:D,2,FALSE),"0")</f>
        <v>Yusi M Komalasari</v>
      </c>
      <c r="C123" s="142">
        <v>17001584</v>
      </c>
      <c r="D123" s="123" t="s">
        <v>264</v>
      </c>
      <c r="E123" s="123"/>
      <c r="F123" s="123">
        <v>0</v>
      </c>
      <c r="G123" s="123"/>
      <c r="H123" s="123" t="s">
        <v>248</v>
      </c>
      <c r="I123" s="123">
        <v>1</v>
      </c>
      <c r="J123" s="123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5"/>
    </row>
    <row r="124" spans="1:23" ht="15.5" x14ac:dyDescent="0.35">
      <c r="A124" s="120">
        <v>121</v>
      </c>
      <c r="B124" s="116" t="str">
        <f>IFERROR(VLOOKUP(C124,'DAFTAR NAMA PRAMUDI'!C:D,2,FALSE),"0")</f>
        <v xml:space="preserve">WAHYUDI </v>
      </c>
      <c r="C124" s="142">
        <v>17001903</v>
      </c>
      <c r="D124" s="156"/>
      <c r="E124" s="123" t="s">
        <v>219</v>
      </c>
      <c r="F124" s="123">
        <v>1</v>
      </c>
      <c r="G124" s="123">
        <v>1</v>
      </c>
      <c r="H124" s="123"/>
      <c r="I124" s="123">
        <v>0</v>
      </c>
      <c r="J124" s="123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5"/>
    </row>
    <row r="125" spans="1:23" ht="30.75" customHeight="1" x14ac:dyDescent="0.35">
      <c r="A125" s="158">
        <v>122</v>
      </c>
      <c r="B125" s="116" t="str">
        <f>IFERROR(VLOOKUP(C125,'DAFTAR NAMA PRAMUDI'!C:D,2,FALSE),"0")</f>
        <v>WAHYU NUGROHO</v>
      </c>
      <c r="C125" s="159">
        <v>17002087</v>
      </c>
      <c r="D125" s="160" t="s">
        <v>229</v>
      </c>
      <c r="E125" s="161"/>
      <c r="F125" s="123">
        <v>0</v>
      </c>
      <c r="G125" s="123"/>
      <c r="H125" s="123"/>
      <c r="I125" s="123">
        <v>0</v>
      </c>
      <c r="J125" s="123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5"/>
    </row>
    <row r="126" spans="1:23" ht="26" x14ac:dyDescent="0.35">
      <c r="A126" s="162">
        <v>123</v>
      </c>
      <c r="B126" s="116" t="str">
        <f>IFERROR(VLOOKUP(C126,'DAFTAR NAMA PRAMUDI'!C:D,2,FALSE),"0")</f>
        <v>Ralim</v>
      </c>
      <c r="C126" s="164">
        <v>17001883</v>
      </c>
      <c r="D126" s="165"/>
      <c r="E126" s="123" t="s">
        <v>189</v>
      </c>
      <c r="F126" s="123">
        <v>1</v>
      </c>
      <c r="G126" s="123">
        <v>1</v>
      </c>
      <c r="H126" s="123" t="s">
        <v>286</v>
      </c>
      <c r="I126" s="123">
        <v>1</v>
      </c>
      <c r="J126" s="123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5"/>
    </row>
    <row r="127" spans="1:23" ht="15.5" x14ac:dyDescent="0.35">
      <c r="A127" s="166">
        <v>124</v>
      </c>
      <c r="B127" s="116" t="str">
        <f>IFERROR(VLOOKUP(C127,'DAFTAR NAMA PRAMUDI'!C:D,2,FALSE),"0")</f>
        <v>Novan Rahmat Fajri</v>
      </c>
      <c r="C127" s="167">
        <v>17001459</v>
      </c>
      <c r="D127" s="189" t="s">
        <v>256</v>
      </c>
      <c r="E127" s="189" t="s">
        <v>203</v>
      </c>
      <c r="F127" s="123">
        <v>1</v>
      </c>
      <c r="G127" s="123">
        <v>1</v>
      </c>
      <c r="H127" s="189" t="s">
        <v>240</v>
      </c>
      <c r="I127" s="123">
        <v>1</v>
      </c>
      <c r="J127" s="123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5"/>
    </row>
    <row r="128" spans="1:23" ht="26" x14ac:dyDescent="0.35">
      <c r="A128" s="168">
        <v>125</v>
      </c>
      <c r="B128" s="116" t="str">
        <f>IFERROR(VLOOKUP(C128,'DAFTAR NAMA PRAMUDI'!C:D,2,FALSE),"0")</f>
        <v>Nelson Erick Pesurnay</v>
      </c>
      <c r="C128" s="169">
        <v>17001876</v>
      </c>
      <c r="D128" s="123"/>
      <c r="E128" s="123" t="s">
        <v>209</v>
      </c>
      <c r="F128" s="123">
        <v>1</v>
      </c>
      <c r="G128" s="123">
        <v>1</v>
      </c>
      <c r="H128" s="123" t="s">
        <v>236</v>
      </c>
      <c r="I128" s="123">
        <v>1</v>
      </c>
      <c r="J128" s="123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5"/>
    </row>
    <row r="129" spans="1:23" ht="39" x14ac:dyDescent="0.35">
      <c r="A129" s="158">
        <v>126</v>
      </c>
      <c r="B129" s="116" t="str">
        <f>IFERROR(VLOOKUP(C129,'DAFTAR NAMA PRAMUDI'!C:D,2,FALSE),"0")</f>
        <v>Lomo Hasudungan</v>
      </c>
      <c r="C129" s="170">
        <v>17001862</v>
      </c>
      <c r="D129" s="123"/>
      <c r="E129" s="123" t="s">
        <v>265</v>
      </c>
      <c r="F129" s="123">
        <v>2</v>
      </c>
      <c r="G129" s="123">
        <v>1</v>
      </c>
      <c r="H129" s="123" t="s">
        <v>246</v>
      </c>
      <c r="I129" s="123">
        <v>1</v>
      </c>
      <c r="J129" s="123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5"/>
    </row>
    <row r="130" spans="1:23" ht="39" x14ac:dyDescent="0.35">
      <c r="A130" s="168">
        <v>127</v>
      </c>
      <c r="B130" s="116" t="str">
        <f>IFERROR(VLOOKUP(C130,'DAFTAR NAMA PRAMUDI'!C:D,2,FALSE),"0")</f>
        <v>Rudolf herbert p siahaan</v>
      </c>
      <c r="C130" s="169">
        <v>17001891</v>
      </c>
      <c r="D130" s="123"/>
      <c r="E130" s="123" t="s">
        <v>214</v>
      </c>
      <c r="F130" s="123">
        <v>1</v>
      </c>
      <c r="G130" s="123">
        <v>1</v>
      </c>
      <c r="H130" s="123" t="s">
        <v>243</v>
      </c>
      <c r="I130" s="123">
        <v>2</v>
      </c>
      <c r="J130" s="123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5"/>
    </row>
    <row r="131" spans="1:23" ht="15.5" x14ac:dyDescent="0.35">
      <c r="A131" s="166">
        <v>128</v>
      </c>
      <c r="B131" s="116" t="str">
        <f>IFERROR(VLOOKUP(C131,'DAFTAR NAMA PRAMUDI'!C:D,2,FALSE),"0")</f>
        <v>NENENG SRI RAHAYU</v>
      </c>
      <c r="C131" s="169">
        <v>17002100</v>
      </c>
      <c r="D131" s="123" t="s">
        <v>257</v>
      </c>
      <c r="E131" s="123"/>
      <c r="F131" s="123">
        <v>0</v>
      </c>
      <c r="G131" s="123"/>
      <c r="H131" s="123" t="s">
        <v>239</v>
      </c>
      <c r="I131" s="123">
        <v>1</v>
      </c>
      <c r="J131" s="123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5"/>
    </row>
    <row r="132" spans="1:23" ht="26" x14ac:dyDescent="0.35">
      <c r="A132" s="168">
        <v>129</v>
      </c>
      <c r="B132" s="116" t="str">
        <f>IFERROR(VLOOKUP(C132,'DAFTAR NAMA PRAMUDI'!C:D,2,FALSE),"0")</f>
        <v>Aguswandi</v>
      </c>
      <c r="C132" s="167">
        <v>17001814</v>
      </c>
      <c r="D132" s="123"/>
      <c r="E132" s="123" t="s">
        <v>261</v>
      </c>
      <c r="F132" s="123">
        <v>1</v>
      </c>
      <c r="G132" s="123"/>
      <c r="H132" s="123"/>
      <c r="I132" s="123">
        <v>1</v>
      </c>
      <c r="J132" s="123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5"/>
    </row>
    <row r="133" spans="1:23" ht="31" x14ac:dyDescent="0.35">
      <c r="A133" s="166">
        <v>130</v>
      </c>
      <c r="B133" s="116" t="str">
        <f>IFERROR(VLOOKUP(C133,'DAFTAR NAMA PRAMUDI'!C:D,2,FALSE),"0")</f>
        <v>ROSARI WULAN PRASASTI</v>
      </c>
      <c r="C133" s="171">
        <v>17002098</v>
      </c>
      <c r="D133" s="123"/>
      <c r="E133" s="123"/>
      <c r="F133" s="123">
        <v>0</v>
      </c>
      <c r="G133" s="123"/>
      <c r="H133" s="123" t="s">
        <v>268</v>
      </c>
      <c r="I133" s="123">
        <v>1</v>
      </c>
      <c r="J133" s="123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5"/>
    </row>
    <row r="134" spans="1:23" ht="15.5" x14ac:dyDescent="0.35">
      <c r="A134" s="162">
        <v>131</v>
      </c>
      <c r="B134" s="116" t="str">
        <f>IFERROR(VLOOKUP(C134,'DAFTAR NAMA PRAMUDI'!C:D,2,FALSE),"0")</f>
        <v>Yopik Pratama Putra</v>
      </c>
      <c r="C134" s="170">
        <v>17001905</v>
      </c>
      <c r="D134" s="123"/>
      <c r="E134" s="123"/>
      <c r="F134" s="123">
        <v>0</v>
      </c>
      <c r="G134" s="123"/>
      <c r="H134" s="123" t="s">
        <v>278</v>
      </c>
      <c r="I134" s="123">
        <v>1</v>
      </c>
      <c r="J134" s="123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5"/>
    </row>
    <row r="135" spans="1:23" ht="15.5" x14ac:dyDescent="0.35">
      <c r="A135" s="172"/>
      <c r="B135" s="163"/>
      <c r="C135" s="173"/>
      <c r="D135" s="123"/>
      <c r="E135" s="123"/>
      <c r="F135" s="123"/>
      <c r="G135" s="123"/>
      <c r="H135" s="123"/>
      <c r="I135" s="123"/>
      <c r="J135" s="123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5"/>
    </row>
    <row r="136" spans="1:23" ht="15.5" x14ac:dyDescent="0.35">
      <c r="A136" s="162"/>
      <c r="B136" s="112"/>
      <c r="C136" s="164"/>
      <c r="D136" s="123"/>
      <c r="E136" s="123"/>
      <c r="F136" s="123"/>
      <c r="G136" s="123"/>
      <c r="H136" s="123"/>
      <c r="I136" s="123"/>
      <c r="J136" s="123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5"/>
    </row>
    <row r="137" spans="1:23" ht="15.5" x14ac:dyDescent="0.35">
      <c r="A137" s="158"/>
      <c r="B137" s="109"/>
      <c r="C137" s="164"/>
      <c r="D137" s="123"/>
      <c r="E137" s="123"/>
      <c r="F137" s="123"/>
      <c r="G137" s="123"/>
      <c r="H137" s="123"/>
      <c r="I137" s="123"/>
      <c r="J137" s="123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5"/>
    </row>
    <row r="138" spans="1:23" ht="15.5" x14ac:dyDescent="0.35">
      <c r="A138" s="168"/>
      <c r="B138" s="109"/>
      <c r="C138" s="167"/>
      <c r="D138" s="123"/>
      <c r="E138" s="123"/>
      <c r="F138" s="123"/>
      <c r="G138" s="123"/>
      <c r="H138" s="123"/>
      <c r="I138" s="123"/>
      <c r="J138" s="123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5"/>
    </row>
    <row r="139" spans="1:23" ht="15.5" x14ac:dyDescent="0.35">
      <c r="A139" s="174"/>
      <c r="B139" s="110"/>
      <c r="C139" s="175"/>
      <c r="D139" s="123"/>
      <c r="E139" s="123"/>
      <c r="F139" s="123"/>
      <c r="G139" s="123"/>
      <c r="H139" s="123"/>
      <c r="I139" s="123"/>
      <c r="J139" s="123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5"/>
    </row>
    <row r="140" spans="1:23" ht="15.5" x14ac:dyDescent="0.35">
      <c r="A140" s="176"/>
      <c r="B140" s="111"/>
      <c r="C140" s="177"/>
      <c r="D140" s="123"/>
      <c r="E140" s="123"/>
      <c r="F140" s="123"/>
      <c r="G140" s="123"/>
      <c r="H140" s="123"/>
      <c r="I140" s="123"/>
      <c r="J140" s="123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5"/>
    </row>
    <row r="141" spans="1:23" ht="15.5" x14ac:dyDescent="0.35">
      <c r="A141" s="172"/>
      <c r="B141" s="108"/>
      <c r="C141" s="177"/>
      <c r="D141" s="123"/>
      <c r="E141" s="123"/>
      <c r="F141" s="123"/>
      <c r="G141" s="123"/>
      <c r="H141" s="123"/>
      <c r="I141" s="123"/>
      <c r="J141" s="123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5"/>
    </row>
    <row r="142" spans="1:23" ht="15.5" x14ac:dyDescent="0.35">
      <c r="A142" s="176"/>
      <c r="B142" s="108"/>
      <c r="C142" s="178"/>
      <c r="D142" s="123"/>
      <c r="E142" s="123"/>
      <c r="F142" s="123"/>
      <c r="G142" s="123"/>
      <c r="H142" s="123"/>
      <c r="I142" s="123"/>
      <c r="J142" s="123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5"/>
    </row>
    <row r="143" spans="1:23" ht="15.5" x14ac:dyDescent="0.35">
      <c r="A143" s="179"/>
      <c r="B143" s="112"/>
      <c r="C143" s="180"/>
      <c r="D143" s="123"/>
      <c r="E143" s="123"/>
      <c r="F143" s="123"/>
      <c r="G143" s="123"/>
      <c r="H143" s="123"/>
      <c r="I143" s="123"/>
      <c r="J143" s="123"/>
      <c r="K143" s="124"/>
      <c r="L143" s="124"/>
      <c r="M143" s="124"/>
      <c r="N143" s="124"/>
      <c r="O143" s="124"/>
      <c r="P143" s="124"/>
      <c r="Q143" s="124"/>
      <c r="R143" s="124"/>
      <c r="S143" s="124"/>
      <c r="T143" s="122"/>
      <c r="U143" s="122"/>
      <c r="V143" s="122"/>
      <c r="W143" s="125"/>
    </row>
    <row r="144" spans="1:23" ht="15.5" x14ac:dyDescent="0.35">
      <c r="A144" s="179"/>
      <c r="B144" s="113"/>
      <c r="C144" s="181"/>
      <c r="D144" s="123"/>
      <c r="E144" s="123"/>
      <c r="F144" s="123"/>
      <c r="G144" s="123"/>
      <c r="H144" s="123"/>
      <c r="I144" s="123"/>
      <c r="J144" s="123"/>
      <c r="K144" s="124"/>
      <c r="L144" s="124"/>
      <c r="M144" s="124"/>
      <c r="N144" s="124"/>
      <c r="O144" s="124"/>
      <c r="P144" s="124"/>
      <c r="Q144" s="124"/>
      <c r="R144" s="124"/>
      <c r="S144" s="124"/>
      <c r="T144" s="122"/>
      <c r="U144" s="122"/>
      <c r="V144" s="122"/>
      <c r="W144" s="125"/>
    </row>
    <row r="145" spans="1:23" ht="15.5" x14ac:dyDescent="0.35">
      <c r="A145" s="182"/>
      <c r="B145" s="183"/>
      <c r="C145" s="184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5"/>
    </row>
    <row r="146" spans="1:23" x14ac:dyDescent="0.35">
      <c r="A146" s="182"/>
      <c r="B146" s="114"/>
      <c r="C146" s="184"/>
      <c r="D146" s="122"/>
      <c r="E146" s="122"/>
      <c r="F146" s="122"/>
      <c r="G146" s="122"/>
      <c r="H146" s="122" t="s">
        <v>279</v>
      </c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5"/>
    </row>
    <row r="147" spans="1:23" ht="15.5" x14ac:dyDescent="0.35">
      <c r="A147" s="182"/>
      <c r="B147" s="114"/>
      <c r="C147" s="180"/>
      <c r="D147" s="124"/>
      <c r="E147" s="124"/>
      <c r="F147" s="124"/>
      <c r="G147" s="124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5"/>
    </row>
    <row r="148" spans="1:23" ht="15.5" x14ac:dyDescent="0.35">
      <c r="A148" s="179"/>
      <c r="B148" s="113"/>
      <c r="C148" s="180"/>
      <c r="D148" s="123"/>
      <c r="E148" s="123"/>
      <c r="F148" s="123"/>
      <c r="G148" s="123"/>
      <c r="H148" s="123"/>
      <c r="I148" s="123"/>
      <c r="J148" s="123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5"/>
    </row>
    <row r="149" spans="1:23" ht="15.5" x14ac:dyDescent="0.35">
      <c r="A149" s="185"/>
      <c r="B149" s="113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72"/>
    </row>
    <row r="150" spans="1:23" x14ac:dyDescent="0.35">
      <c r="B150" s="187"/>
    </row>
  </sheetData>
  <autoFilter ref="A1:W134" xr:uid="{95D639FB-F9E0-4EDC-80E8-9F4B1C7244D3}"/>
  <mergeCells count="6">
    <mergeCell ref="T2:V2"/>
    <mergeCell ref="E2:G2"/>
    <mergeCell ref="H2:J2"/>
    <mergeCell ref="K2:M2"/>
    <mergeCell ref="N2:P2"/>
    <mergeCell ref="Q2:S2"/>
  </mergeCells>
  <conditionalFormatting sqref="B4:B134">
    <cfRule type="cellIs" dxfId="1" priority="1" operator="equal">
      <formula>0</formula>
    </cfRule>
    <cfRule type="cellIs" dxfId="0" priority="3" operator="equal">
      <formula>""""""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D155-AAFB-450F-B9C5-2FF5269BE7F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82A9-F347-4888-8FEB-ACEE7666FB6F}">
  <dimension ref="B2:D129"/>
  <sheetViews>
    <sheetView topLeftCell="A111" workbookViewId="0">
      <selection activeCell="D130" sqref="D130"/>
    </sheetView>
  </sheetViews>
  <sheetFormatPr defaultRowHeight="14.5" x14ac:dyDescent="0.35"/>
  <cols>
    <col min="3" max="3" width="10.81640625" bestFit="1" customWidth="1"/>
    <col min="4" max="4" width="25.90625" bestFit="1" customWidth="1"/>
  </cols>
  <sheetData>
    <row r="2" spans="2:4" x14ac:dyDescent="0.35">
      <c r="B2" t="s">
        <v>2</v>
      </c>
      <c r="C2" t="s">
        <v>11</v>
      </c>
      <c r="D2" t="s">
        <v>10</v>
      </c>
    </row>
    <row r="4" spans="2:4" x14ac:dyDescent="0.35">
      <c r="B4">
        <v>1</v>
      </c>
      <c r="C4">
        <v>17001137</v>
      </c>
      <c r="D4" t="s">
        <v>25</v>
      </c>
    </row>
    <row r="5" spans="2:4" x14ac:dyDescent="0.35">
      <c r="B5">
        <v>2</v>
      </c>
      <c r="C5">
        <v>17001342</v>
      </c>
      <c r="D5" t="s">
        <v>290</v>
      </c>
    </row>
    <row r="6" spans="2:4" x14ac:dyDescent="0.35">
      <c r="B6">
        <v>3</v>
      </c>
      <c r="C6">
        <v>17000495</v>
      </c>
      <c r="D6" t="s">
        <v>26</v>
      </c>
    </row>
    <row r="7" spans="2:4" x14ac:dyDescent="0.35">
      <c r="B7">
        <v>4</v>
      </c>
      <c r="C7">
        <v>17000537</v>
      </c>
      <c r="D7" t="s">
        <v>27</v>
      </c>
    </row>
    <row r="8" spans="2:4" x14ac:dyDescent="0.35">
      <c r="B8">
        <v>5</v>
      </c>
      <c r="C8">
        <v>17001589</v>
      </c>
      <c r="D8" t="s">
        <v>28</v>
      </c>
    </row>
    <row r="9" spans="2:4" x14ac:dyDescent="0.35">
      <c r="B9">
        <v>6</v>
      </c>
      <c r="C9">
        <v>17001473</v>
      </c>
      <c r="D9" t="s">
        <v>29</v>
      </c>
    </row>
    <row r="10" spans="2:4" x14ac:dyDescent="0.35">
      <c r="B10">
        <v>7</v>
      </c>
      <c r="C10">
        <v>17001101</v>
      </c>
      <c r="D10" t="s">
        <v>30</v>
      </c>
    </row>
    <row r="11" spans="2:4" x14ac:dyDescent="0.35">
      <c r="B11">
        <v>8</v>
      </c>
      <c r="C11">
        <v>17001814</v>
      </c>
      <c r="D11" t="s">
        <v>291</v>
      </c>
    </row>
    <row r="12" spans="2:4" x14ac:dyDescent="0.35">
      <c r="B12">
        <v>9</v>
      </c>
      <c r="C12">
        <v>17000849</v>
      </c>
      <c r="D12" t="s">
        <v>31</v>
      </c>
    </row>
    <row r="13" spans="2:4" x14ac:dyDescent="0.35">
      <c r="B13">
        <v>10</v>
      </c>
      <c r="C13">
        <v>17001005</v>
      </c>
      <c r="D13" t="s">
        <v>32</v>
      </c>
    </row>
    <row r="14" spans="2:4" x14ac:dyDescent="0.35">
      <c r="B14">
        <v>11</v>
      </c>
      <c r="C14">
        <v>17001818</v>
      </c>
      <c r="D14" t="s">
        <v>292</v>
      </c>
    </row>
    <row r="15" spans="2:4" x14ac:dyDescent="0.35">
      <c r="B15">
        <v>12</v>
      </c>
      <c r="C15">
        <v>17001469</v>
      </c>
      <c r="D15" t="s">
        <v>33</v>
      </c>
    </row>
    <row r="16" spans="2:4" x14ac:dyDescent="0.35">
      <c r="B16">
        <v>13</v>
      </c>
      <c r="C16">
        <v>17001128</v>
      </c>
      <c r="D16" t="s">
        <v>34</v>
      </c>
    </row>
    <row r="17" spans="2:4" x14ac:dyDescent="0.35">
      <c r="B17">
        <v>14</v>
      </c>
      <c r="C17">
        <v>17001819</v>
      </c>
      <c r="D17" t="s">
        <v>293</v>
      </c>
    </row>
    <row r="18" spans="2:4" x14ac:dyDescent="0.35">
      <c r="B18">
        <v>15</v>
      </c>
      <c r="C18">
        <v>17001544</v>
      </c>
      <c r="D18" t="s">
        <v>35</v>
      </c>
    </row>
    <row r="19" spans="2:4" x14ac:dyDescent="0.35">
      <c r="B19">
        <v>16</v>
      </c>
      <c r="C19">
        <v>17000839</v>
      </c>
      <c r="D19" t="s">
        <v>36</v>
      </c>
    </row>
    <row r="20" spans="2:4" x14ac:dyDescent="0.35">
      <c r="B20">
        <v>17</v>
      </c>
      <c r="C20">
        <v>17001825</v>
      </c>
      <c r="D20" t="s">
        <v>139</v>
      </c>
    </row>
    <row r="21" spans="2:4" x14ac:dyDescent="0.35">
      <c r="B21">
        <v>18</v>
      </c>
      <c r="C21">
        <v>17000436</v>
      </c>
      <c r="D21" t="s">
        <v>37</v>
      </c>
    </row>
    <row r="22" spans="2:4" x14ac:dyDescent="0.35">
      <c r="B22">
        <v>19</v>
      </c>
      <c r="C22">
        <v>17000389</v>
      </c>
      <c r="D22" t="s">
        <v>38</v>
      </c>
    </row>
    <row r="23" spans="2:4" x14ac:dyDescent="0.35">
      <c r="B23">
        <v>20</v>
      </c>
      <c r="C23">
        <v>17000346</v>
      </c>
      <c r="D23" t="s">
        <v>39</v>
      </c>
    </row>
    <row r="24" spans="2:4" x14ac:dyDescent="0.35">
      <c r="B24">
        <v>21</v>
      </c>
      <c r="C24">
        <v>7213120708</v>
      </c>
      <c r="D24" t="s">
        <v>40</v>
      </c>
    </row>
    <row r="25" spans="2:4" x14ac:dyDescent="0.35">
      <c r="B25">
        <v>22</v>
      </c>
      <c r="C25">
        <v>17001328</v>
      </c>
      <c r="D25" t="s">
        <v>41</v>
      </c>
    </row>
    <row r="26" spans="2:4" x14ac:dyDescent="0.35">
      <c r="B26">
        <v>23</v>
      </c>
      <c r="C26">
        <v>17001832</v>
      </c>
      <c r="D26" t="s">
        <v>294</v>
      </c>
    </row>
    <row r="27" spans="2:4" x14ac:dyDescent="0.35">
      <c r="B27">
        <v>24</v>
      </c>
      <c r="C27">
        <v>17000838</v>
      </c>
      <c r="D27" t="s">
        <v>42</v>
      </c>
    </row>
    <row r="28" spans="2:4" x14ac:dyDescent="0.35">
      <c r="B28">
        <v>25</v>
      </c>
      <c r="C28">
        <v>17000427</v>
      </c>
      <c r="D28" t="s">
        <v>43</v>
      </c>
    </row>
    <row r="29" spans="2:4" x14ac:dyDescent="0.35">
      <c r="B29">
        <v>26</v>
      </c>
      <c r="C29">
        <v>17000441</v>
      </c>
      <c r="D29" t="s">
        <v>44</v>
      </c>
    </row>
    <row r="30" spans="2:4" x14ac:dyDescent="0.35">
      <c r="B30">
        <v>27</v>
      </c>
      <c r="C30">
        <v>17001418</v>
      </c>
      <c r="D30" t="s">
        <v>45</v>
      </c>
    </row>
    <row r="31" spans="2:4" x14ac:dyDescent="0.35">
      <c r="B31">
        <v>28</v>
      </c>
      <c r="C31">
        <v>17001576</v>
      </c>
      <c r="D31" t="s">
        <v>46</v>
      </c>
    </row>
    <row r="32" spans="2:4" x14ac:dyDescent="0.35">
      <c r="B32">
        <v>29</v>
      </c>
      <c r="C32">
        <v>17001844</v>
      </c>
      <c r="D32" t="s">
        <v>295</v>
      </c>
    </row>
    <row r="33" spans="2:4" x14ac:dyDescent="0.35">
      <c r="B33">
        <v>30</v>
      </c>
      <c r="C33">
        <v>17001536</v>
      </c>
      <c r="D33" t="s">
        <v>47</v>
      </c>
    </row>
    <row r="34" spans="2:4" x14ac:dyDescent="0.35">
      <c r="B34">
        <v>31</v>
      </c>
      <c r="C34">
        <v>17001802</v>
      </c>
      <c r="D34" t="s">
        <v>127</v>
      </c>
    </row>
    <row r="35" spans="2:4" x14ac:dyDescent="0.35">
      <c r="B35">
        <v>32</v>
      </c>
      <c r="C35">
        <v>17001852</v>
      </c>
      <c r="D35" t="s">
        <v>296</v>
      </c>
    </row>
    <row r="36" spans="2:4" x14ac:dyDescent="0.35">
      <c r="B36">
        <v>33</v>
      </c>
      <c r="C36">
        <v>17001449</v>
      </c>
      <c r="D36" t="s">
        <v>48</v>
      </c>
    </row>
    <row r="37" spans="2:4" x14ac:dyDescent="0.35">
      <c r="B37">
        <v>34</v>
      </c>
      <c r="C37">
        <v>17001324</v>
      </c>
      <c r="D37" t="s">
        <v>49</v>
      </c>
    </row>
    <row r="38" spans="2:4" x14ac:dyDescent="0.35">
      <c r="B38">
        <v>35</v>
      </c>
      <c r="C38">
        <v>17000798</v>
      </c>
      <c r="D38" t="s">
        <v>50</v>
      </c>
    </row>
    <row r="39" spans="2:4" x14ac:dyDescent="0.35">
      <c r="B39">
        <v>36</v>
      </c>
      <c r="C39">
        <v>17001603</v>
      </c>
      <c r="D39" t="s">
        <v>51</v>
      </c>
    </row>
    <row r="40" spans="2:4" x14ac:dyDescent="0.35">
      <c r="B40">
        <v>37</v>
      </c>
      <c r="C40">
        <v>17001488</v>
      </c>
      <c r="D40" t="s">
        <v>52</v>
      </c>
    </row>
    <row r="41" spans="2:4" x14ac:dyDescent="0.35">
      <c r="B41">
        <v>38</v>
      </c>
      <c r="C41">
        <v>17000691</v>
      </c>
      <c r="D41" t="s">
        <v>53</v>
      </c>
    </row>
    <row r="42" spans="2:4" x14ac:dyDescent="0.35">
      <c r="B42">
        <v>39</v>
      </c>
      <c r="C42">
        <v>17001293</v>
      </c>
      <c r="D42" t="s">
        <v>54</v>
      </c>
    </row>
    <row r="43" spans="2:4" x14ac:dyDescent="0.35">
      <c r="B43">
        <v>40</v>
      </c>
      <c r="C43">
        <v>17000510</v>
      </c>
      <c r="D43" t="s">
        <v>55</v>
      </c>
    </row>
    <row r="44" spans="2:4" x14ac:dyDescent="0.35">
      <c r="B44">
        <v>41</v>
      </c>
      <c r="C44">
        <v>17001028</v>
      </c>
      <c r="D44" t="s">
        <v>56</v>
      </c>
    </row>
    <row r="45" spans="2:4" x14ac:dyDescent="0.35">
      <c r="B45">
        <v>42</v>
      </c>
      <c r="C45">
        <v>8615121388</v>
      </c>
      <c r="D45" t="s">
        <v>57</v>
      </c>
    </row>
    <row r="46" spans="2:4" x14ac:dyDescent="0.35">
      <c r="B46">
        <v>43</v>
      </c>
      <c r="C46">
        <v>17001070</v>
      </c>
      <c r="D46" t="s">
        <v>58</v>
      </c>
    </row>
    <row r="47" spans="2:4" x14ac:dyDescent="0.35">
      <c r="B47">
        <v>44</v>
      </c>
      <c r="C47">
        <v>17000598</v>
      </c>
      <c r="D47" t="s">
        <v>59</v>
      </c>
    </row>
    <row r="48" spans="2:4" x14ac:dyDescent="0.35">
      <c r="B48">
        <v>45</v>
      </c>
      <c r="C48">
        <v>17000909</v>
      </c>
      <c r="D48" t="s">
        <v>60</v>
      </c>
    </row>
    <row r="49" spans="2:4" x14ac:dyDescent="0.35">
      <c r="B49">
        <v>46</v>
      </c>
      <c r="C49">
        <v>17001502</v>
      </c>
      <c r="D49" t="s">
        <v>61</v>
      </c>
    </row>
    <row r="50" spans="2:4" x14ac:dyDescent="0.35">
      <c r="B50">
        <v>47</v>
      </c>
      <c r="C50">
        <v>17001578</v>
      </c>
      <c r="D50" t="s">
        <v>62</v>
      </c>
    </row>
    <row r="51" spans="2:4" x14ac:dyDescent="0.35">
      <c r="B51">
        <v>48</v>
      </c>
      <c r="C51">
        <v>790110747</v>
      </c>
      <c r="D51" t="s">
        <v>63</v>
      </c>
    </row>
    <row r="52" spans="2:4" x14ac:dyDescent="0.35">
      <c r="B52">
        <v>49</v>
      </c>
      <c r="C52">
        <v>17001022</v>
      </c>
      <c r="D52" t="s">
        <v>297</v>
      </c>
    </row>
    <row r="53" spans="2:4" x14ac:dyDescent="0.35">
      <c r="B53">
        <v>50</v>
      </c>
      <c r="C53">
        <v>17001511</v>
      </c>
      <c r="D53" t="s">
        <v>64</v>
      </c>
    </row>
    <row r="54" spans="2:4" x14ac:dyDescent="0.35">
      <c r="B54">
        <v>51</v>
      </c>
      <c r="C54">
        <v>17000590</v>
      </c>
      <c r="D54" t="s">
        <v>65</v>
      </c>
    </row>
    <row r="55" spans="2:4" x14ac:dyDescent="0.35">
      <c r="B55">
        <v>52</v>
      </c>
      <c r="C55">
        <v>17001361</v>
      </c>
      <c r="D55" t="s">
        <v>66</v>
      </c>
    </row>
    <row r="56" spans="2:4" x14ac:dyDescent="0.35">
      <c r="B56">
        <v>53</v>
      </c>
      <c r="C56">
        <v>17001862</v>
      </c>
      <c r="D56" t="s">
        <v>298</v>
      </c>
    </row>
    <row r="57" spans="2:4" x14ac:dyDescent="0.35">
      <c r="B57">
        <v>54</v>
      </c>
      <c r="C57">
        <v>17001790</v>
      </c>
      <c r="D57" t="s">
        <v>299</v>
      </c>
    </row>
    <row r="58" spans="2:4" x14ac:dyDescent="0.35">
      <c r="B58">
        <v>55</v>
      </c>
      <c r="C58">
        <v>17001458</v>
      </c>
      <c r="D58" t="s">
        <v>67</v>
      </c>
    </row>
    <row r="59" spans="2:4" x14ac:dyDescent="0.35">
      <c r="B59">
        <v>56</v>
      </c>
      <c r="C59">
        <v>17000884</v>
      </c>
      <c r="D59" t="s">
        <v>68</v>
      </c>
    </row>
    <row r="60" spans="2:4" x14ac:dyDescent="0.35">
      <c r="B60">
        <v>57</v>
      </c>
      <c r="C60">
        <v>17001504</v>
      </c>
      <c r="D60" t="s">
        <v>69</v>
      </c>
    </row>
    <row r="61" spans="2:4" x14ac:dyDescent="0.35">
      <c r="B61">
        <v>58</v>
      </c>
      <c r="C61">
        <v>17000595</v>
      </c>
      <c r="D61" t="s">
        <v>70</v>
      </c>
    </row>
    <row r="62" spans="2:4" x14ac:dyDescent="0.35">
      <c r="B62">
        <v>59</v>
      </c>
      <c r="C62">
        <v>17001477</v>
      </c>
      <c r="D62" t="s">
        <v>71</v>
      </c>
    </row>
    <row r="63" spans="2:4" x14ac:dyDescent="0.35">
      <c r="B63">
        <v>60</v>
      </c>
      <c r="C63">
        <v>17000994</v>
      </c>
      <c r="D63" t="s">
        <v>72</v>
      </c>
    </row>
    <row r="64" spans="2:4" x14ac:dyDescent="0.35">
      <c r="B64">
        <v>61</v>
      </c>
      <c r="C64">
        <v>17000971</v>
      </c>
      <c r="D64" t="s">
        <v>73</v>
      </c>
    </row>
    <row r="65" spans="2:4" x14ac:dyDescent="0.35">
      <c r="B65">
        <v>62</v>
      </c>
      <c r="C65">
        <v>17001078</v>
      </c>
      <c r="D65" t="s">
        <v>74</v>
      </c>
    </row>
    <row r="66" spans="2:4" x14ac:dyDescent="0.35">
      <c r="B66">
        <v>63</v>
      </c>
      <c r="C66">
        <v>17000603</v>
      </c>
      <c r="D66" t="s">
        <v>75</v>
      </c>
    </row>
    <row r="67" spans="2:4" x14ac:dyDescent="0.35">
      <c r="B67">
        <v>64</v>
      </c>
      <c r="C67">
        <v>17000699</v>
      </c>
      <c r="D67" t="s">
        <v>76</v>
      </c>
    </row>
    <row r="68" spans="2:4" x14ac:dyDescent="0.35">
      <c r="B68">
        <v>65</v>
      </c>
      <c r="C68">
        <v>17000778</v>
      </c>
      <c r="D68" t="s">
        <v>77</v>
      </c>
    </row>
    <row r="69" spans="2:4" x14ac:dyDescent="0.35">
      <c r="B69">
        <v>66</v>
      </c>
      <c r="C69">
        <v>17001611</v>
      </c>
      <c r="D69" t="s">
        <v>78</v>
      </c>
    </row>
    <row r="70" spans="2:4" x14ac:dyDescent="0.35">
      <c r="B70">
        <v>67</v>
      </c>
      <c r="C70">
        <v>17001156</v>
      </c>
      <c r="D70" t="s">
        <v>79</v>
      </c>
    </row>
    <row r="71" spans="2:4" x14ac:dyDescent="0.35">
      <c r="B71">
        <v>68</v>
      </c>
      <c r="C71">
        <v>17001109</v>
      </c>
      <c r="D71" t="s">
        <v>80</v>
      </c>
    </row>
    <row r="72" spans="2:4" x14ac:dyDescent="0.35">
      <c r="B72">
        <v>69</v>
      </c>
      <c r="C72">
        <v>17001552</v>
      </c>
      <c r="D72" t="s">
        <v>81</v>
      </c>
    </row>
    <row r="73" spans="2:4" x14ac:dyDescent="0.35">
      <c r="B73">
        <v>70</v>
      </c>
      <c r="C73">
        <v>17001527</v>
      </c>
      <c r="D73" t="s">
        <v>82</v>
      </c>
    </row>
    <row r="74" spans="2:4" x14ac:dyDescent="0.35">
      <c r="B74">
        <v>71</v>
      </c>
      <c r="C74">
        <v>17001876</v>
      </c>
      <c r="D74" t="s">
        <v>300</v>
      </c>
    </row>
    <row r="75" spans="2:4" x14ac:dyDescent="0.35">
      <c r="B75">
        <v>72</v>
      </c>
      <c r="C75">
        <v>831111895</v>
      </c>
      <c r="D75" t="s">
        <v>83</v>
      </c>
    </row>
    <row r="76" spans="2:4" x14ac:dyDescent="0.35">
      <c r="B76">
        <v>73</v>
      </c>
      <c r="C76">
        <v>17001459</v>
      </c>
      <c r="D76" t="s">
        <v>301</v>
      </c>
    </row>
    <row r="77" spans="2:4" x14ac:dyDescent="0.35">
      <c r="B77">
        <v>74</v>
      </c>
      <c r="C77">
        <v>820811526</v>
      </c>
      <c r="D77" t="s">
        <v>84</v>
      </c>
    </row>
    <row r="78" spans="2:4" x14ac:dyDescent="0.35">
      <c r="B78">
        <v>75</v>
      </c>
      <c r="C78">
        <v>17001170</v>
      </c>
      <c r="D78" t="s">
        <v>85</v>
      </c>
    </row>
    <row r="79" spans="2:4" x14ac:dyDescent="0.35">
      <c r="B79">
        <v>76</v>
      </c>
      <c r="C79">
        <v>17000868</v>
      </c>
      <c r="D79" t="s">
        <v>86</v>
      </c>
    </row>
    <row r="80" spans="2:4" x14ac:dyDescent="0.35">
      <c r="B80">
        <v>77</v>
      </c>
      <c r="C80">
        <v>17000422</v>
      </c>
      <c r="D80" t="s">
        <v>87</v>
      </c>
    </row>
    <row r="81" spans="2:4" x14ac:dyDescent="0.35">
      <c r="B81">
        <v>78</v>
      </c>
      <c r="C81">
        <v>17000864</v>
      </c>
      <c r="D81" t="s">
        <v>88</v>
      </c>
    </row>
    <row r="82" spans="2:4" x14ac:dyDescent="0.35">
      <c r="B82">
        <v>79</v>
      </c>
      <c r="C82">
        <v>17000557</v>
      </c>
      <c r="D82" t="s">
        <v>89</v>
      </c>
    </row>
    <row r="83" spans="2:4" x14ac:dyDescent="0.35">
      <c r="B83">
        <v>80</v>
      </c>
      <c r="C83">
        <v>17001883</v>
      </c>
      <c r="D83" t="s">
        <v>302</v>
      </c>
    </row>
    <row r="84" spans="2:4" x14ac:dyDescent="0.35">
      <c r="B84">
        <v>81</v>
      </c>
      <c r="C84">
        <v>17001150</v>
      </c>
      <c r="D84" t="s">
        <v>90</v>
      </c>
    </row>
    <row r="85" spans="2:4" x14ac:dyDescent="0.35">
      <c r="B85">
        <v>82</v>
      </c>
      <c r="C85">
        <v>17001344</v>
      </c>
      <c r="D85" t="s">
        <v>91</v>
      </c>
    </row>
    <row r="86" spans="2:4" x14ac:dyDescent="0.35">
      <c r="B86">
        <v>83</v>
      </c>
      <c r="C86">
        <v>17001885</v>
      </c>
      <c r="D86" t="s">
        <v>303</v>
      </c>
    </row>
    <row r="87" spans="2:4" x14ac:dyDescent="0.35">
      <c r="B87">
        <v>84</v>
      </c>
      <c r="C87">
        <v>17001407</v>
      </c>
      <c r="D87" t="s">
        <v>92</v>
      </c>
    </row>
    <row r="88" spans="2:4" x14ac:dyDescent="0.35">
      <c r="B88">
        <v>85</v>
      </c>
      <c r="C88">
        <v>17001362</v>
      </c>
      <c r="D88" t="s">
        <v>93</v>
      </c>
    </row>
    <row r="89" spans="2:4" x14ac:dyDescent="0.35">
      <c r="B89">
        <v>86</v>
      </c>
      <c r="C89">
        <v>17001891</v>
      </c>
      <c r="D89" t="s">
        <v>304</v>
      </c>
    </row>
    <row r="90" spans="2:4" x14ac:dyDescent="0.35">
      <c r="B90">
        <v>87</v>
      </c>
      <c r="C90">
        <v>17000821</v>
      </c>
      <c r="D90" t="s">
        <v>94</v>
      </c>
    </row>
    <row r="91" spans="2:4" x14ac:dyDescent="0.35">
      <c r="B91">
        <v>88</v>
      </c>
      <c r="C91">
        <v>7709120211</v>
      </c>
      <c r="D91" t="s">
        <v>95</v>
      </c>
    </row>
    <row r="92" spans="2:4" x14ac:dyDescent="0.35">
      <c r="B92">
        <v>89</v>
      </c>
      <c r="C92">
        <v>7812120066</v>
      </c>
      <c r="D92" t="s">
        <v>96</v>
      </c>
    </row>
    <row r="93" spans="2:4" x14ac:dyDescent="0.35">
      <c r="B93">
        <v>90</v>
      </c>
      <c r="C93">
        <v>17001363</v>
      </c>
      <c r="D93" t="s">
        <v>97</v>
      </c>
    </row>
    <row r="94" spans="2:4" x14ac:dyDescent="0.35">
      <c r="B94">
        <v>91</v>
      </c>
      <c r="C94">
        <v>17000795</v>
      </c>
      <c r="D94" t="s">
        <v>98</v>
      </c>
    </row>
    <row r="95" spans="2:4" x14ac:dyDescent="0.35">
      <c r="B95">
        <v>92</v>
      </c>
      <c r="C95">
        <v>17001018</v>
      </c>
      <c r="D95" t="s">
        <v>99</v>
      </c>
    </row>
    <row r="96" spans="2:4" x14ac:dyDescent="0.35">
      <c r="B96">
        <v>93</v>
      </c>
      <c r="C96">
        <v>17000899</v>
      </c>
      <c r="D96" t="s">
        <v>100</v>
      </c>
    </row>
    <row r="97" spans="2:4" x14ac:dyDescent="0.35">
      <c r="B97">
        <v>94</v>
      </c>
      <c r="C97">
        <v>17000737</v>
      </c>
      <c r="D97" t="s">
        <v>101</v>
      </c>
    </row>
    <row r="98" spans="2:4" x14ac:dyDescent="0.35">
      <c r="B98">
        <v>95</v>
      </c>
      <c r="C98">
        <v>7813120477</v>
      </c>
      <c r="D98" t="s">
        <v>102</v>
      </c>
    </row>
    <row r="99" spans="2:4" x14ac:dyDescent="0.35">
      <c r="B99">
        <v>96</v>
      </c>
      <c r="C99">
        <v>17001009</v>
      </c>
      <c r="D99" t="s">
        <v>103</v>
      </c>
    </row>
    <row r="100" spans="2:4" x14ac:dyDescent="0.35">
      <c r="B100">
        <v>97</v>
      </c>
      <c r="C100">
        <v>17001364</v>
      </c>
      <c r="D100" t="s">
        <v>104</v>
      </c>
    </row>
    <row r="101" spans="2:4" x14ac:dyDescent="0.35">
      <c r="B101">
        <v>98</v>
      </c>
      <c r="C101">
        <v>17000738</v>
      </c>
      <c r="D101" t="s">
        <v>105</v>
      </c>
    </row>
    <row r="102" spans="2:4" x14ac:dyDescent="0.35">
      <c r="B102">
        <v>99</v>
      </c>
      <c r="C102">
        <v>17001053</v>
      </c>
      <c r="D102" t="s">
        <v>106</v>
      </c>
    </row>
    <row r="103" spans="2:4" x14ac:dyDescent="0.35">
      <c r="B103">
        <v>100</v>
      </c>
      <c r="C103">
        <v>720510945</v>
      </c>
      <c r="D103" t="s">
        <v>107</v>
      </c>
    </row>
    <row r="104" spans="2:4" x14ac:dyDescent="0.35">
      <c r="B104">
        <v>101</v>
      </c>
      <c r="C104">
        <v>17000670</v>
      </c>
      <c r="D104" t="s">
        <v>108</v>
      </c>
    </row>
    <row r="105" spans="2:4" x14ac:dyDescent="0.35">
      <c r="B105">
        <v>102</v>
      </c>
      <c r="C105">
        <v>17001033</v>
      </c>
      <c r="D105" t="s">
        <v>109</v>
      </c>
    </row>
    <row r="106" spans="2:4" x14ac:dyDescent="0.35">
      <c r="B106">
        <v>103</v>
      </c>
      <c r="C106">
        <v>17000894</v>
      </c>
      <c r="D106" t="s">
        <v>110</v>
      </c>
    </row>
    <row r="107" spans="2:4" x14ac:dyDescent="0.35">
      <c r="B107">
        <v>104</v>
      </c>
      <c r="C107">
        <v>699710205</v>
      </c>
      <c r="D107" t="s">
        <v>111</v>
      </c>
    </row>
    <row r="108" spans="2:4" x14ac:dyDescent="0.35">
      <c r="B108">
        <v>105</v>
      </c>
      <c r="C108">
        <v>17000827</v>
      </c>
      <c r="D108" t="s">
        <v>112</v>
      </c>
    </row>
    <row r="109" spans="2:4" x14ac:dyDescent="0.35">
      <c r="B109">
        <v>106</v>
      </c>
      <c r="C109">
        <v>17001365</v>
      </c>
      <c r="D109" t="s">
        <v>113</v>
      </c>
    </row>
    <row r="110" spans="2:4" x14ac:dyDescent="0.35">
      <c r="B110">
        <v>107</v>
      </c>
      <c r="C110">
        <v>17001616</v>
      </c>
      <c r="D110" t="s">
        <v>114</v>
      </c>
    </row>
    <row r="111" spans="2:4" x14ac:dyDescent="0.35">
      <c r="B111">
        <v>108</v>
      </c>
      <c r="C111">
        <v>17001566</v>
      </c>
      <c r="D111" t="s">
        <v>115</v>
      </c>
    </row>
    <row r="112" spans="2:4" x14ac:dyDescent="0.35">
      <c r="B112">
        <v>109</v>
      </c>
      <c r="C112">
        <v>17001355</v>
      </c>
      <c r="D112" t="s">
        <v>116</v>
      </c>
    </row>
    <row r="113" spans="2:4" x14ac:dyDescent="0.35">
      <c r="B113">
        <v>110</v>
      </c>
      <c r="C113">
        <v>17001049</v>
      </c>
      <c r="D113" t="s">
        <v>117</v>
      </c>
    </row>
    <row r="114" spans="2:4" x14ac:dyDescent="0.35">
      <c r="B114">
        <v>111</v>
      </c>
      <c r="C114">
        <v>17000546</v>
      </c>
      <c r="D114" t="s">
        <v>118</v>
      </c>
    </row>
    <row r="115" spans="2:4" x14ac:dyDescent="0.35">
      <c r="B115">
        <v>112</v>
      </c>
      <c r="C115">
        <v>17000790</v>
      </c>
      <c r="D115" t="s">
        <v>119</v>
      </c>
    </row>
    <row r="116" spans="2:4" x14ac:dyDescent="0.35">
      <c r="B116">
        <v>113</v>
      </c>
      <c r="C116">
        <v>17001905</v>
      </c>
      <c r="D116" t="s">
        <v>305</v>
      </c>
    </row>
    <row r="117" spans="2:4" x14ac:dyDescent="0.35">
      <c r="B117">
        <v>114</v>
      </c>
      <c r="C117">
        <v>17001068</v>
      </c>
      <c r="D117" t="s">
        <v>120</v>
      </c>
    </row>
    <row r="118" spans="2:4" x14ac:dyDescent="0.35">
      <c r="B118">
        <v>115</v>
      </c>
      <c r="C118">
        <v>17000883</v>
      </c>
      <c r="D118" t="s">
        <v>121</v>
      </c>
    </row>
    <row r="119" spans="2:4" x14ac:dyDescent="0.35">
      <c r="B119">
        <v>116</v>
      </c>
      <c r="C119">
        <v>17001584</v>
      </c>
      <c r="D119" t="s">
        <v>122</v>
      </c>
    </row>
    <row r="120" spans="2:4" x14ac:dyDescent="0.35">
      <c r="B120">
        <v>117</v>
      </c>
      <c r="C120">
        <v>17001529</v>
      </c>
      <c r="D120" t="s">
        <v>123</v>
      </c>
    </row>
    <row r="121" spans="2:4" x14ac:dyDescent="0.35">
      <c r="B121">
        <v>118</v>
      </c>
      <c r="C121">
        <v>17002080</v>
      </c>
      <c r="D121" t="s">
        <v>306</v>
      </c>
    </row>
    <row r="122" spans="2:4" x14ac:dyDescent="0.35">
      <c r="B122">
        <v>119</v>
      </c>
      <c r="C122">
        <v>17002078</v>
      </c>
      <c r="D122" t="s">
        <v>307</v>
      </c>
    </row>
    <row r="123" spans="2:4" x14ac:dyDescent="0.35">
      <c r="B123">
        <v>120</v>
      </c>
      <c r="C123">
        <v>17002087</v>
      </c>
      <c r="D123" t="s">
        <v>308</v>
      </c>
    </row>
    <row r="124" spans="2:4" x14ac:dyDescent="0.35">
      <c r="B124">
        <v>121</v>
      </c>
      <c r="C124">
        <v>17002107</v>
      </c>
      <c r="D124" t="s">
        <v>309</v>
      </c>
    </row>
    <row r="125" spans="2:4" x14ac:dyDescent="0.35">
      <c r="B125">
        <v>122</v>
      </c>
      <c r="C125">
        <v>17002100</v>
      </c>
      <c r="D125" t="s">
        <v>310</v>
      </c>
    </row>
    <row r="126" spans="2:4" x14ac:dyDescent="0.35">
      <c r="B126">
        <v>123</v>
      </c>
      <c r="C126">
        <v>17002098</v>
      </c>
      <c r="D126" t="s">
        <v>311</v>
      </c>
    </row>
    <row r="127" spans="2:4" x14ac:dyDescent="0.35">
      <c r="C127">
        <v>17001509</v>
      </c>
      <c r="D127" t="s">
        <v>312</v>
      </c>
    </row>
    <row r="128" spans="2:4" x14ac:dyDescent="0.35">
      <c r="C128">
        <v>17001447</v>
      </c>
      <c r="D128" t="s">
        <v>313</v>
      </c>
    </row>
    <row r="129" spans="3:4" x14ac:dyDescent="0.35">
      <c r="C129">
        <v>17001903</v>
      </c>
      <c r="D129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LAPORAN TEKNIK 1 </vt:lpstr>
      <vt:lpstr>Sheet2</vt:lpstr>
      <vt:lpstr>DAFTAR NAMA PRAMUDI</vt:lpstr>
      <vt:lpstr>WIJI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DELLIA</dc:creator>
  <cp:lastModifiedBy>ADVAN</cp:lastModifiedBy>
  <dcterms:created xsi:type="dcterms:W3CDTF">2025-09-02T07:32:40Z</dcterms:created>
  <dcterms:modified xsi:type="dcterms:W3CDTF">2026-08-14T12:15:21Z</dcterms:modified>
</cp:coreProperties>
</file>