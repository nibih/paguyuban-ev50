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VAN\Desktop\"/>
    </mc:Choice>
  </mc:AlternateContent>
  <xr:revisionPtr revIDLastSave="0" documentId="13_ncr:1_{118C8460-F1D3-4097-8868-BC9FA8C07086}" xr6:coauthVersionLast="47" xr6:coauthVersionMax="47" xr10:uidLastSave="{00000000-0000-0000-0000-000000000000}"/>
  <bookViews>
    <workbookView xWindow="-110" yWindow="-110" windowWidth="19420" windowHeight="10300" firstSheet="39" activeTab="44" xr2:uid="{667EA88B-E727-46F8-A131-B1BA6376626B}"/>
  </bookViews>
  <sheets>
    <sheet name="SAMUJI " sheetId="47" r:id="rId1"/>
    <sheet name="INDRA PINAYUNGAN " sheetId="46" r:id="rId2"/>
    <sheet name="MARRISA " sheetId="45" r:id="rId3"/>
    <sheet name="SUHERMAN " sheetId="44" r:id="rId4"/>
    <sheet name="MAMAN " sheetId="43" r:id="rId5"/>
    <sheet name="ARGENT " sheetId="42" r:id="rId6"/>
    <sheet name="JONEMSOM G " sheetId="41" r:id="rId7"/>
    <sheet name="ABDUL ROHMAN " sheetId="40" r:id="rId8"/>
    <sheet name="FIKRI RAMADAN " sheetId="39" r:id="rId9"/>
    <sheet name="KUSNADI " sheetId="38" r:id="rId10"/>
    <sheet name="DEDE ERICK " sheetId="37" r:id="rId11"/>
    <sheet name="gumilar aziz c" sheetId="36" r:id="rId12"/>
    <sheet name="GUGUN JUANDA " sheetId="35" r:id="rId13"/>
    <sheet name="MUFLIH " sheetId="34" r:id="rId14"/>
    <sheet name="NOFRIAL " sheetId="33" r:id="rId15"/>
    <sheet name="M SANGIDUL " sheetId="32" r:id="rId16"/>
    <sheet name="FIRMAN HARI " sheetId="31" r:id="rId17"/>
    <sheet name="AGUS SUKMANA" sheetId="30" r:id="rId18"/>
    <sheet name="LOMO " sheetId="29" r:id="rId19"/>
    <sheet name="NURCAHYO " sheetId="28" r:id="rId20"/>
    <sheet name="ISHAK OMA " sheetId="27" r:id="rId21"/>
    <sheet name="RODOFF HERBET" sheetId="26" r:id="rId22"/>
    <sheet name="ADE TISNA " sheetId="25" r:id="rId23"/>
    <sheet name="JOKO SANTOSO " sheetId="24" r:id="rId24"/>
    <sheet name="ZEVA WILIAN " sheetId="23" r:id="rId25"/>
    <sheet name="AHMAD GUSTOMI " sheetId="22" r:id="rId26"/>
    <sheet name="ANANG M " sheetId="21" r:id="rId27"/>
    <sheet name="AGUS WANDI " sheetId="20" r:id="rId28"/>
    <sheet name="SONY BIN SAKAM " sheetId="19" r:id="rId29"/>
    <sheet name="GILANG RENGGA S " sheetId="18" r:id="rId30"/>
    <sheet name="RUDIYANTO" sheetId="16" r:id="rId31"/>
    <sheet name="BAYU NUGROHO " sheetId="15" r:id="rId32"/>
    <sheet name="HAFID T " sheetId="14" r:id="rId33"/>
    <sheet name="SOBUR " sheetId="13" r:id="rId34"/>
    <sheet name="RALIM " sheetId="12" r:id="rId35"/>
    <sheet name="A SUTRIADI " sheetId="11" r:id="rId36"/>
    <sheet name="RONI P " sheetId="10" r:id="rId37"/>
    <sheet name="PARLINDUNGAN " sheetId="9" r:id="rId38"/>
    <sheet name="DEFI ANDRI " sheetId="7" r:id="rId39"/>
    <sheet name="MOCH JENI " sheetId="6" r:id="rId40"/>
    <sheet name="MASHURI" sheetId="5" r:id="rId41"/>
    <sheet name="LUTFI" sheetId="4" r:id="rId42"/>
    <sheet name="nicolas " sheetId="3" r:id="rId43"/>
    <sheet name="M FAIZAL A " sheetId="2" r:id="rId44"/>
    <sheet name="NUROHIM " sheetId="1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47" l="1"/>
  <c r="F22" i="46"/>
  <c r="F22" i="45"/>
  <c r="F22" i="44"/>
  <c r="F22" i="43"/>
  <c r="F22" i="42"/>
  <c r="F22" i="41"/>
  <c r="G13" i="41"/>
  <c r="F22" i="40"/>
  <c r="G13" i="40"/>
  <c r="F22" i="39"/>
  <c r="G13" i="39"/>
  <c r="F22" i="38"/>
  <c r="G13" i="38"/>
  <c r="F22" i="37"/>
  <c r="G13" i="37"/>
  <c r="F22" i="36"/>
  <c r="G13" i="36"/>
  <c r="F22" i="35"/>
  <c r="G13" i="35"/>
  <c r="F22" i="34"/>
  <c r="G13" i="34"/>
  <c r="F22" i="33"/>
  <c r="G14" i="33"/>
  <c r="G15" i="33" s="1"/>
  <c r="G16" i="33" s="1"/>
  <c r="G17" i="33" s="1"/>
  <c r="F22" i="32"/>
  <c r="G13" i="32"/>
  <c r="F22" i="31"/>
  <c r="G13" i="31"/>
  <c r="F22" i="30"/>
  <c r="G13" i="30"/>
  <c r="F22" i="29"/>
  <c r="G13" i="29"/>
  <c r="F22" i="28"/>
  <c r="G13" i="28"/>
  <c r="F22" i="27"/>
  <c r="G16" i="27"/>
  <c r="F22" i="26"/>
  <c r="G13" i="26"/>
  <c r="F22" i="25"/>
  <c r="G13" i="25"/>
  <c r="F22" i="24"/>
  <c r="G13" i="24"/>
  <c r="F22" i="23"/>
  <c r="G13" i="23"/>
  <c r="F22" i="22"/>
  <c r="G15" i="22"/>
  <c r="G16" i="22" s="1"/>
  <c r="F22" i="21"/>
  <c r="G13" i="21"/>
  <c r="F22" i="20"/>
  <c r="G13" i="20"/>
  <c r="F22" i="19"/>
  <c r="G13" i="19"/>
  <c r="F22" i="18"/>
  <c r="F22" i="16"/>
  <c r="G13" i="16"/>
  <c r="F22" i="15"/>
  <c r="G13" i="15"/>
  <c r="F22" i="14"/>
  <c r="G13" i="14"/>
  <c r="F22" i="13"/>
  <c r="G13" i="13"/>
  <c r="F22" i="12"/>
  <c r="G13" i="12"/>
  <c r="F22" i="11"/>
  <c r="G13" i="11"/>
  <c r="F22" i="10"/>
  <c r="G13" i="10"/>
  <c r="F22" i="9"/>
  <c r="G13" i="9"/>
  <c r="F22" i="7"/>
  <c r="G13" i="7"/>
  <c r="F22" i="6"/>
  <c r="G13" i="6"/>
  <c r="F22" i="5"/>
  <c r="G13" i="5"/>
  <c r="F22" i="4"/>
  <c r="G13" i="4"/>
  <c r="F22" i="3"/>
  <c r="F22" i="2"/>
  <c r="G13" i="2"/>
  <c r="F22" i="1"/>
  <c r="G13" i="1"/>
</calcChain>
</file>

<file path=xl/sharedStrings.xml><?xml version="1.0" encoding="utf-8"?>
<sst xmlns="http://schemas.openxmlformats.org/spreadsheetml/2006/main" count="1411" uniqueCount="165">
  <si>
    <t>NAMA                               :</t>
  </si>
  <si>
    <t xml:space="preserve">NIK                                    : </t>
  </si>
  <si>
    <t>AREA                                :</t>
  </si>
  <si>
    <t>SBU TRANSBUSWAY AREA CAWANG</t>
  </si>
  <si>
    <t>PEMBEBANAN               :</t>
  </si>
  <si>
    <t>JUMLAH                           :</t>
  </si>
  <si>
    <t>.</t>
  </si>
  <si>
    <t>NO</t>
  </si>
  <si>
    <t>TANGGAL</t>
  </si>
  <si>
    <t>URAIAN</t>
  </si>
  <si>
    <t>KETERANGAN</t>
  </si>
  <si>
    <t>Jakarta, 29 September2026</t>
  </si>
  <si>
    <t>Nama Karyawan</t>
  </si>
  <si>
    <t>Ketua Paguyuban Cawang</t>
  </si>
  <si>
    <t>Bendahara Paguyuban</t>
  </si>
  <si>
    <t xml:space="preserve"> </t>
  </si>
  <si>
    <t>AFRIZAL PIRMANSYAH S.M</t>
  </si>
  <si>
    <t>M ABDUL KHALIK</t>
  </si>
  <si>
    <t>Column1</t>
  </si>
  <si>
    <t xml:space="preserve">coper cctv ilang </t>
  </si>
  <si>
    <t xml:space="preserve">jenis perbaikan </t>
  </si>
  <si>
    <t xml:space="preserve">ssparpat </t>
  </si>
  <si>
    <t xml:space="preserve">cover cctv </t>
  </si>
  <si>
    <t>ganti part</t>
  </si>
  <si>
    <t>harga spartpart</t>
  </si>
  <si>
    <t xml:space="preserve">tangungan pgy </t>
  </si>
  <si>
    <t>KARTU PENGAWASAN PERBAIKAN  PAGUYUBAN EV 50</t>
  </si>
  <si>
    <t>M FAIZAL APRIANUR</t>
  </si>
  <si>
    <t xml:space="preserve">NUROHIM </t>
  </si>
  <si>
    <t>BODY KANAN BAWAH PENYOK</t>
  </si>
  <si>
    <t xml:space="preserve">PERAWATAN </t>
  </si>
  <si>
    <t xml:space="preserve">Bidang umum </t>
  </si>
  <si>
    <t xml:space="preserve">MAMAN </t>
  </si>
  <si>
    <t xml:space="preserve">NICOLAS </t>
  </si>
  <si>
    <t xml:space="preserve">BODY KIRI DARI DEPAN SAMPAI BELAKANG PENYOK PARAH </t>
  </si>
  <si>
    <t>BODY REPAIR</t>
  </si>
  <si>
    <t xml:space="preserve">HUTANG ANGGOTA </t>
  </si>
  <si>
    <t>Jakarta, 15 September2026</t>
  </si>
  <si>
    <t xml:space="preserve">BODY DEPAN KIRI BAWAH TULANGAN BODY </t>
  </si>
  <si>
    <t xml:space="preserve">LUTFI </t>
  </si>
  <si>
    <t xml:space="preserve">LAKA TABRAK SPARATOR </t>
  </si>
  <si>
    <t>LAMP SAMPING</t>
  </si>
  <si>
    <t>MASHURI</t>
  </si>
  <si>
    <t>h</t>
  </si>
  <si>
    <t xml:space="preserve">BEMPER KIRI BAWAH PENYOK </t>
  </si>
  <si>
    <t xml:space="preserve">PAGUYUBAN </t>
  </si>
  <si>
    <t xml:space="preserve">MOCH JENI </t>
  </si>
  <si>
    <t xml:space="preserve">BODY </t>
  </si>
  <si>
    <t>;</t>
  </si>
  <si>
    <t xml:space="preserve">PRAMUDI </t>
  </si>
  <si>
    <t>:</t>
  </si>
  <si>
    <t xml:space="preserve">BATANGAN </t>
  </si>
  <si>
    <t xml:space="preserve">BODY KANAN BAWAH SOMPEL </t>
  </si>
  <si>
    <t xml:space="preserve">DEFI ANDRI </t>
  </si>
  <si>
    <t>BEMPER BELANG</t>
  </si>
  <si>
    <t xml:space="preserve">CADANGAN </t>
  </si>
  <si>
    <t xml:space="preserve">REPAIR BODY </t>
  </si>
  <si>
    <t xml:space="preserve">PARLINDUNGAN </t>
  </si>
  <si>
    <t xml:space="preserve">BODY SAMPING L BARET </t>
  </si>
  <si>
    <t xml:space="preserve">PGY </t>
  </si>
  <si>
    <t xml:space="preserve">RONI P </t>
  </si>
  <si>
    <t xml:space="preserve">BEMPER KANAN BARET </t>
  </si>
  <si>
    <t xml:space="preserve">A SUTRIADI </t>
  </si>
  <si>
    <t xml:space="preserve">BODY SAMPING KANAN BARET </t>
  </si>
  <si>
    <t xml:space="preserve">RALIM </t>
  </si>
  <si>
    <t>250-</t>
  </si>
  <si>
    <t xml:space="preserve">SOBUR </t>
  </si>
  <si>
    <t xml:space="preserve">BARET BODY BELAKANG KIRI </t>
  </si>
  <si>
    <t xml:space="preserve">HAPIT T </t>
  </si>
  <si>
    <t xml:space="preserve">BAYU NUGROHO </t>
  </si>
  <si>
    <t xml:space="preserve">COVER SPION PECAH ATAS NYA 239 </t>
  </si>
  <si>
    <t xml:space="preserve">BODY DEPAN KIRI BARET </t>
  </si>
  <si>
    <t>RUDIYANTO</t>
  </si>
  <si>
    <t xml:space="preserve">ASURANSI </t>
  </si>
  <si>
    <t xml:space="preserve">PRIBADI </t>
  </si>
  <si>
    <t>KACA DISPLAY 258</t>
  </si>
  <si>
    <t xml:space="preserve">GANTI </t>
  </si>
  <si>
    <t xml:space="preserve">GILANG RENGGA SAPUTRA </t>
  </si>
  <si>
    <t xml:space="preserve">KACA SPION PECAH BEMPER KANAN BARET </t>
  </si>
  <si>
    <t xml:space="preserve">SPION KACA </t>
  </si>
  <si>
    <t xml:space="preserve">SONY BIN SAKAM </t>
  </si>
  <si>
    <t xml:space="preserve">BEMPER KIRI BARET </t>
  </si>
  <si>
    <t xml:space="preserve">AGUS WANDI </t>
  </si>
  <si>
    <t>BODY KIRI BAWAH LECET</t>
  </si>
  <si>
    <t>ANANG M</t>
  </si>
  <si>
    <t xml:space="preserve">BEMPER KIRI BAWAH SOMPAL </t>
  </si>
  <si>
    <t xml:space="preserve">AHMAD GUSTOMI </t>
  </si>
  <si>
    <t xml:space="preserve">COVER CCTV HILANG </t>
  </si>
  <si>
    <t xml:space="preserve">ZEVA WILIAN </t>
  </si>
  <si>
    <t xml:space="preserve">BEMPER KIRI PENYOK </t>
  </si>
  <si>
    <t xml:space="preserve">JOKO SANTOSO </t>
  </si>
  <si>
    <t xml:space="preserve">BEMPER DEPAN KIRI BAWAH BARET </t>
  </si>
  <si>
    <t xml:space="preserve">ADE TISNA </t>
  </si>
  <si>
    <t xml:space="preserve">BEMPER PENYOK </t>
  </si>
  <si>
    <t>BODY SAMPING KIRI BARET PENDER KIRI OENYOK</t>
  </si>
  <si>
    <t>RUDDOF HERBERT</t>
  </si>
  <si>
    <t xml:space="preserve">BODY SAMPING KIRI BARETET </t>
  </si>
  <si>
    <t xml:space="preserve">ISHAK OMA </t>
  </si>
  <si>
    <t>GANTI</t>
  </si>
  <si>
    <t xml:space="preserve">NURCAHYO </t>
  </si>
  <si>
    <t xml:space="preserve">BEMBER KAKAN BARET </t>
  </si>
  <si>
    <t xml:space="preserve">COPER CCTV KANAN HILANG </t>
  </si>
  <si>
    <t xml:space="preserve">COVER SPION PECAH BEMPER DEPN KNN </t>
  </si>
  <si>
    <t xml:space="preserve">LOMO </t>
  </si>
  <si>
    <t xml:space="preserve">AGUS SUKMANA </t>
  </si>
  <si>
    <t xml:space="preserve">BODY BELAKANG KIRI PENYOK </t>
  </si>
  <si>
    <t xml:space="preserve">BEMPER PENYOK DI TABRAK MOTOE </t>
  </si>
  <si>
    <t xml:space="preserve">FIRMAN HARI </t>
  </si>
  <si>
    <t xml:space="preserve">M SANGIDUL N A </t>
  </si>
  <si>
    <t xml:space="preserve">BEMPER KANAN PENYOK </t>
  </si>
  <si>
    <t xml:space="preserve">NOFRIAL </t>
  </si>
  <si>
    <t xml:space="preserve">COVER CCTV KIRI HILANG </t>
  </si>
  <si>
    <t xml:space="preserve">COVER CCTV </t>
  </si>
  <si>
    <t xml:space="preserve">KACA SPION PECAH </t>
  </si>
  <si>
    <t xml:space="preserve">KACA SPION </t>
  </si>
  <si>
    <t xml:space="preserve">MUFLIH </t>
  </si>
  <si>
    <t xml:space="preserve">PERBAIKAN BEMPER KIRI BELAKANG PENYOK </t>
  </si>
  <si>
    <t xml:space="preserve">GUGUN JUANDA </t>
  </si>
  <si>
    <t xml:space="preserve">BODY KIRI BARET BODY BAWAH PENYOK </t>
  </si>
  <si>
    <t>bemper  depan kanan baret</t>
  </si>
  <si>
    <t xml:space="preserve">GUMILAR AZIZ C </t>
  </si>
  <si>
    <t xml:space="preserve">BEMPER BAWAH KANAN BARET </t>
  </si>
  <si>
    <t xml:space="preserve">DEDE E </t>
  </si>
  <si>
    <t xml:space="preserve">COVER CCTV HILANG/PECAH </t>
  </si>
  <si>
    <t xml:space="preserve">BODY BEMPER KIRI DAN BELAKANG KANAN KNE MOTOR </t>
  </si>
  <si>
    <t xml:space="preserve">KUSNADI </t>
  </si>
  <si>
    <t xml:space="preserve">BEMPER KIRI BELAKNG PENYOK </t>
  </si>
  <si>
    <t xml:space="preserve">PERWATAN </t>
  </si>
  <si>
    <t xml:space="preserve">BEMPER KIRI DEPAN PENYOK </t>
  </si>
  <si>
    <t xml:space="preserve">FIKRI R </t>
  </si>
  <si>
    <t xml:space="preserve">BEMPER KANAN BAWAH BARET </t>
  </si>
  <si>
    <t xml:space="preserve">BODY LECET BELAKNG KANAN </t>
  </si>
  <si>
    <t xml:space="preserve">ABDUL ROHMAN </t>
  </si>
  <si>
    <t xml:space="preserve">BEMPER BELAKNG BAWAH JANAN </t>
  </si>
  <si>
    <t xml:space="preserve">JHONENSOM G </t>
  </si>
  <si>
    <t>BODY BELAKANG KIRI LECET 14 A 250-261</t>
  </si>
  <si>
    <t>ARGENT</t>
  </si>
  <si>
    <t xml:space="preserve">259 BEMPER BAWAH KANAN PENYOK </t>
  </si>
  <si>
    <t xml:space="preserve">261 BEMPER DPN KANAN PENYOK </t>
  </si>
  <si>
    <t xml:space="preserve">271'BEMPER KIRI PENYOK </t>
  </si>
  <si>
    <t>BEMPER KANAN BAWAH PENYOK</t>
  </si>
  <si>
    <t xml:space="preserve">BODY PENYOK </t>
  </si>
  <si>
    <t xml:space="preserve">BEMPER BAWAH KANAN PENYOK </t>
  </si>
  <si>
    <t xml:space="preserve">SHERMAN </t>
  </si>
  <si>
    <t>BODY BELAKNG PENYOK 250-249</t>
  </si>
  <si>
    <t>BEMPER DEPAN PENYOK  250-231</t>
  </si>
  <si>
    <t>03/062026</t>
  </si>
  <si>
    <t>BEMPER BELAKNG SAMPING KANAN 250-262</t>
  </si>
  <si>
    <t xml:space="preserve">MARISA </t>
  </si>
  <si>
    <t>PENYOK 250-232</t>
  </si>
  <si>
    <t>PENYOK BODY 250-250</t>
  </si>
  <si>
    <t xml:space="preserve">INDRA P </t>
  </si>
  <si>
    <t>BEMPER DEPAN KIRI PENYOK 250-267</t>
  </si>
  <si>
    <t>PANEL BEMPER KANAN BAWAH PENYOK 250-229</t>
  </si>
  <si>
    <t>BEMPER DEPAN BAWAH KANAN 250-250</t>
  </si>
  <si>
    <t xml:space="preserve">BEMPER DEPAN KANAN BARET DAN LECET </t>
  </si>
  <si>
    <t>BEMPER DEPAN KANAN BARET DAN LECET 258</t>
  </si>
  <si>
    <t>\</t>
  </si>
  <si>
    <t xml:space="preserve">SAMUJI </t>
  </si>
  <si>
    <t>BATANGAN</t>
  </si>
  <si>
    <t>PECAH KACA LANGSIR 250-242</t>
  </si>
  <si>
    <t>BODY LECET 233</t>
  </si>
  <si>
    <t xml:space="preserve">BEMPER KANAN DEPAN PENYOK </t>
  </si>
  <si>
    <t xml:space="preserve">BEMPER DEPAN KANAN PENYOK </t>
  </si>
  <si>
    <t xml:space="preserve">GANTI COPER CCTV DEPAN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</si>
</sst>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[$Rp-421]* #,##0_-;\-[$Rp-421]* #,##0_-;_-[$Rp-421]* &quot;-&quot;_-;_-@_-"/>
    <numFmt numFmtId="167" formatCode="_(* #,##0_);_(* \(#,##0\);_(* &quot;-&quot;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6"/>
      <color theme="1"/>
      <name val="Aptos Narrow"/>
      <family val="2"/>
      <charset val="1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charset val="1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 applyAlignment="1">
      <alignment vertical="center" wrapText="1"/>
    </xf>
    <xf numFmtId="165" fontId="1" fillId="0" borderId="0" xfId="1" applyNumberFormat="1" applyAlignment="1">
      <alignment vertical="center" wrapText="1"/>
    </xf>
    <xf numFmtId="166" fontId="1" fillId="0" borderId="0" xfId="2" applyNumberFormat="1" applyAlignment="1">
      <alignment vertical="center"/>
    </xf>
    <xf numFmtId="0" fontId="1" fillId="0" borderId="0" xfId="2" applyAlignment="1">
      <alignment vertical="center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165" fontId="1" fillId="0" borderId="0" xfId="1" applyNumberFormat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horizontal="left" vertical="center" wrapText="1"/>
    </xf>
    <xf numFmtId="0" fontId="4" fillId="0" borderId="0" xfId="2" applyFont="1" applyAlignment="1">
      <alignment vertical="center" wrapText="1"/>
    </xf>
    <xf numFmtId="43" fontId="4" fillId="0" borderId="0" xfId="1" applyFont="1" applyAlignment="1">
      <alignment vertical="center" wrapText="1"/>
    </xf>
    <xf numFmtId="165" fontId="4" fillId="0" borderId="0" xfId="1" applyNumberFormat="1" applyFont="1" applyAlignment="1">
      <alignment vertical="center"/>
    </xf>
    <xf numFmtId="0" fontId="5" fillId="0" borderId="1" xfId="2" applyFont="1" applyBorder="1" applyAlignment="1">
      <alignment horizontal="center" vertical="center"/>
    </xf>
    <xf numFmtId="14" fontId="7" fillId="2" borderId="1" xfId="2" applyNumberFormat="1" applyFont="1" applyFill="1" applyBorder="1" applyAlignment="1">
      <alignment horizontal="center" vertical="center"/>
    </xf>
    <xf numFmtId="165" fontId="7" fillId="0" borderId="0" xfId="1" applyNumberFormat="1" applyFont="1" applyAlignment="1">
      <alignment vertical="center" wrapText="1"/>
    </xf>
    <xf numFmtId="165" fontId="5" fillId="0" borderId="1" xfId="3" applyNumberFormat="1" applyFont="1" applyFill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165" fontId="5" fillId="0" borderId="1" xfId="1" applyNumberFormat="1" applyFont="1" applyBorder="1" applyAlignment="1">
      <alignment vertical="center" wrapText="1"/>
    </xf>
    <xf numFmtId="167" fontId="7" fillId="0" borderId="1" xfId="4" applyFont="1" applyBorder="1" applyAlignment="1">
      <alignment horizontal="center" vertical="center"/>
    </xf>
    <xf numFmtId="166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165" fontId="6" fillId="0" borderId="0" xfId="1" applyNumberFormat="1" applyFont="1" applyAlignment="1">
      <alignment vertical="center"/>
    </xf>
    <xf numFmtId="166" fontId="6" fillId="0" borderId="0" xfId="2" applyNumberFormat="1" applyFont="1" applyAlignment="1">
      <alignment vertical="center"/>
    </xf>
    <xf numFmtId="0" fontId="2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66" fontId="6" fillId="0" borderId="1" xfId="2" applyNumberFormat="1" applyFont="1" applyBorder="1" applyAlignment="1">
      <alignment horizontal="center" vertical="center"/>
    </xf>
    <xf numFmtId="166" fontId="6" fillId="0" borderId="0" xfId="2" applyNumberFormat="1" applyFont="1" applyAlignment="1">
      <alignment horizontal="center" vertical="center"/>
    </xf>
    <xf numFmtId="0" fontId="0" fillId="0" borderId="6" xfId="0" quotePrefix="1" applyBorder="1" applyAlignment="1">
      <alignment horizontal="left" vertical="center"/>
    </xf>
    <xf numFmtId="0" fontId="0" fillId="0" borderId="7" xfId="0" quotePrefix="1" applyBorder="1" applyAlignment="1">
      <alignment horizontal="left" vertical="center"/>
    </xf>
    <xf numFmtId="0" fontId="5" fillId="0" borderId="6" xfId="2" applyFont="1" applyBorder="1" applyAlignment="1">
      <alignment horizontal="left" vertical="center" wrapText="1"/>
    </xf>
    <xf numFmtId="0" fontId="5" fillId="0" borderId="7" xfId="2" applyFont="1" applyBorder="1" applyAlignment="1">
      <alignment horizontal="left" vertical="center" wrapText="1"/>
    </xf>
    <xf numFmtId="0" fontId="2" fillId="3" borderId="0" xfId="2" applyFont="1" applyFill="1" applyAlignment="1">
      <alignment horizontal="center" vertical="center"/>
    </xf>
    <xf numFmtId="0" fontId="2" fillId="4" borderId="0" xfId="2" applyFont="1" applyFill="1" applyAlignment="1">
      <alignment horizontal="center" vertical="center"/>
    </xf>
    <xf numFmtId="0" fontId="2" fillId="5" borderId="0" xfId="2" applyFont="1" applyFill="1" applyAlignment="1">
      <alignment horizontal="center" vertical="center"/>
    </xf>
    <xf numFmtId="0" fontId="2" fillId="6" borderId="0" xfId="2" applyFont="1" applyFill="1" applyAlignment="1">
      <alignment horizontal="center" vertical="center"/>
    </xf>
    <xf numFmtId="165" fontId="5" fillId="2" borderId="1" xfId="3" applyNumberFormat="1" applyFont="1" applyFill="1" applyBorder="1" applyAlignment="1">
      <alignment vertical="center"/>
    </xf>
  </cellXfs>
  <cellStyles count="5">
    <cellStyle name="Comma" xfId="1" builtinId="3"/>
    <cellStyle name="Comma [0] 4" xfId="4" xr:uid="{9FEBBE92-01A6-470D-96C4-B3F8F769B94A}"/>
    <cellStyle name="Comma 11" xfId="3" xr:uid="{F5D241D9-C16D-40BC-B403-2F372EF1A5EB}"/>
    <cellStyle name="Normal" xfId="0" builtinId="0"/>
    <cellStyle name="Normal 2 4" xfId="2" xr:uid="{D9B097F1-07BE-40AB-9667-2ED1E7510D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7FDA2DC3-6468-4305-8B80-15B60C9329FC}" name="Table1789101112131415161718192021222324252627282930313233343536373839404142434445464748" displayName="Table1789101112131415161718192021222324252627282930313233343536373839404142434445464748" ref="I5:I6" insertRow="1" totalsRowShown="0">
  <autoFilter ref="I5:I6" xr:uid="{7E0ADDF4-57ED-4816-A401-01A933B06E24}"/>
  <tableColumns count="1">
    <tableColumn id="1" xr3:uid="{BD13377D-AE92-48BB-88B5-D05C409E4C0F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46C5A83-6BED-45A4-862D-0F406F4701F4}" name="Table17891011121314151617181920212223242526272829303132333435363738394041424344454647" displayName="Table17891011121314151617181920212223242526272829303132333435363738394041424344454647" ref="I5:I6" insertRow="1" totalsRowShown="0">
  <autoFilter ref="I5:I6" xr:uid="{7E0ADDF4-57ED-4816-A401-01A933B06E24}"/>
  <tableColumns count="1">
    <tableColumn id="1" xr3:uid="{2C6C82B6-0DCF-49C2-8CF2-7B1EEB021FF3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FA8B2F13-EBED-45CE-BAB8-C212EDBF0D1A}" name="Table178910111213141516171819202122232425262728293031323334353637383940414243444546" displayName="Table178910111213141516171819202122232425262728293031323334353637383940414243444546" ref="I5:I6" insertRow="1" totalsRowShown="0">
  <autoFilter ref="I5:I6" xr:uid="{7E0ADDF4-57ED-4816-A401-01A933B06E24}"/>
  <tableColumns count="1">
    <tableColumn id="1" xr3:uid="{7E130D4B-CC0E-49BB-B7F0-7285138E8A21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D5F000E-6D04-401D-BA44-ABCC328DC9DF}" name="Table1789101112131415161718192021222324252627282930313233343536373839404142434445" displayName="Table1789101112131415161718192021222324252627282930313233343536373839404142434445" ref="I5:I6" insertRow="1" totalsRowShown="0">
  <autoFilter ref="I5:I6" xr:uid="{7E0ADDF4-57ED-4816-A401-01A933B06E24}"/>
  <tableColumns count="1">
    <tableColumn id="1" xr3:uid="{780C6FA8-78C0-4E60-A7E0-6137A2E1CC0C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E33431F-7366-4A17-96AB-C9AAC1639E82}" name="Table17891011121314151617181920212223242526272829303132333435363738394041424344" displayName="Table17891011121314151617181920212223242526272829303132333435363738394041424344" ref="I5:I6" insertRow="1" totalsRowShown="0">
  <autoFilter ref="I5:I6" xr:uid="{7E0ADDF4-57ED-4816-A401-01A933B06E24}"/>
  <tableColumns count="1">
    <tableColumn id="1" xr3:uid="{98586773-EDA8-4D1F-8694-F979A0620B46}" name="Column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EFF8C09-964A-413D-B668-704DDC64FA7D}" name="Table178910111213141516171819202122232425262728293031323334353637383940414243" displayName="Table178910111213141516171819202122232425262728293031323334353637383940414243" ref="I5:I6" insertRow="1" totalsRowShown="0">
  <autoFilter ref="I5:I6" xr:uid="{7E0ADDF4-57ED-4816-A401-01A933B06E24}"/>
  <tableColumns count="1">
    <tableColumn id="1" xr3:uid="{07592413-C290-4742-9C84-2DE9757A063A}" name="Column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1DA279B-994B-4196-8197-8BC4483CAE03}" name="Table1789101112131415161718192021222324252627282930313233343536373839404142" displayName="Table1789101112131415161718192021222324252627282930313233343536373839404142" ref="I5:I6" insertRow="1" totalsRowShown="0">
  <autoFilter ref="I5:I6" xr:uid="{7E0ADDF4-57ED-4816-A401-01A933B06E24}"/>
  <tableColumns count="1">
    <tableColumn id="1" xr3:uid="{B9BAB47A-0B9C-4C74-95C8-CF10D8CA58A8}" name="Column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A9C8CD-1001-44F4-B1EA-4A38C157A155}" name="Table17891011121314151617181920212223242526272829303132333435363738394041" displayName="Table17891011121314151617181920212223242526272829303132333435363738394041" ref="I5:I6" insertRow="1" totalsRowShown="0">
  <autoFilter ref="I5:I6" xr:uid="{7E0ADDF4-57ED-4816-A401-01A933B06E24}"/>
  <tableColumns count="1">
    <tableColumn id="1" xr3:uid="{805F9FB6-8558-493C-902C-906D9C41311B}" name="Column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F702F29-D7D6-4615-A461-6B25A6A86566}" name="Table178910111213141516171819202122232425262728293031323334353637383940" displayName="Table178910111213141516171819202122232425262728293031323334353637383940" ref="I5:I6" insertRow="1" totalsRowShown="0">
  <autoFilter ref="I5:I6" xr:uid="{7E0ADDF4-57ED-4816-A401-01A933B06E24}"/>
  <tableColumns count="1">
    <tableColumn id="1" xr3:uid="{2285D170-F928-4028-9A0D-FA16A9A20606}" name="Column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0E86016-56CF-43C3-9C1A-DF11B993F30E}" name="Table1789101112131415161718192021222324252627282930313233343536373839" displayName="Table1789101112131415161718192021222324252627282930313233343536373839" ref="I5:I6" insertRow="1" totalsRowShown="0">
  <autoFilter ref="I5:I6" xr:uid="{7E0ADDF4-57ED-4816-A401-01A933B06E24}"/>
  <tableColumns count="1">
    <tableColumn id="1" xr3:uid="{C89BF8A2-C49C-493B-B7E6-CB2B5B6FD1B2}" name="Column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EA7D420-39FF-4AD5-9B61-F8B080DE309B}" name="Table17891011121314151617181920212223242526272829303132333435363738" displayName="Table17891011121314151617181920212223242526272829303132333435363738" ref="I5:I6" insertRow="1" totalsRowShown="0">
  <autoFilter ref="I5:I6" xr:uid="{7E0ADDF4-57ED-4816-A401-01A933B06E24}"/>
  <tableColumns count="1">
    <tableColumn id="1" xr3:uid="{9395E2A9-6F25-4EE1-965B-64D95EBC060B}" name="Column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232D972-4404-4721-A519-B044CC470FF2}" name="Table178910111213141516171819202122232425262728293031323334353637" displayName="Table178910111213141516171819202122232425262728293031323334353637" ref="I5:I6" insertRow="1" totalsRowShown="0">
  <autoFilter ref="I5:I6" xr:uid="{7E0ADDF4-57ED-4816-A401-01A933B06E24}"/>
  <tableColumns count="1">
    <tableColumn id="1" xr3:uid="{82C4572F-9697-40D1-9111-1EC0181FB507}" name="Column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A9C4442-5CF1-40D8-BB3A-D451198F27BF}" name="Table1789101112131415161718192021222324252627282930313233343536" displayName="Table1789101112131415161718192021222324252627282930313233343536" ref="I5:I6" insertRow="1" totalsRowShown="0">
  <autoFilter ref="I5:I6" xr:uid="{7E0ADDF4-57ED-4816-A401-01A933B06E24}"/>
  <tableColumns count="1">
    <tableColumn id="1" xr3:uid="{E5A8966E-8E16-4FD2-83CF-C352A8D58B94}" name="Column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56065EF-FF8D-4A7E-9F99-259530AF0EA5}" name="Table17891011121314151617181920212223242526272829303132333435" displayName="Table17891011121314151617181920212223242526272829303132333435" ref="I5:I6" insertRow="1" totalsRowShown="0">
  <autoFilter ref="I5:I6" xr:uid="{7E0ADDF4-57ED-4816-A401-01A933B06E24}"/>
  <tableColumns count="1">
    <tableColumn id="1" xr3:uid="{2509FB81-CF38-4A2A-909D-31882884D2F6}" name="Column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F339A6A-0DC9-4D83-8EA6-C8A84373297D}" name="Table178910111213141516171819202122232425262728293031323334" displayName="Table178910111213141516171819202122232425262728293031323334" ref="I5:I6" insertRow="1" totalsRowShown="0">
  <autoFilter ref="I5:I6" xr:uid="{7E0ADDF4-57ED-4816-A401-01A933B06E24}"/>
  <tableColumns count="1">
    <tableColumn id="1" xr3:uid="{98BB46C6-3D22-4265-B57D-646DDDCBC3CF}" name="Column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58476F3-995D-4F6C-A591-70B3BE710352}" name="Table1789101112131415161718192021222324252627282930313233" displayName="Table1789101112131415161718192021222324252627282930313233" ref="I5:I6" insertRow="1" totalsRowShown="0">
  <autoFilter ref="I5:I6" xr:uid="{7E0ADDF4-57ED-4816-A401-01A933B06E24}"/>
  <tableColumns count="1">
    <tableColumn id="1" xr3:uid="{E3FD0A4E-26ED-4A25-ACDB-23D33DC816DD}" name="Column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A806789-3E82-4974-BC45-F80DA8E6D512}" name="Table17891011121314151617181920212223242526272829303132" displayName="Table17891011121314151617181920212223242526272829303132" ref="I5:I6" insertRow="1" totalsRowShown="0">
  <autoFilter ref="I5:I6" xr:uid="{7E0ADDF4-57ED-4816-A401-01A933B06E24}"/>
  <tableColumns count="1">
    <tableColumn id="1" xr3:uid="{101B0D5F-991C-4F19-97A0-B8FA139CD5A4}" name="Column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B0588A3-E4C3-4B43-AFA0-F31CFB381E00}" name="Table178910111213141516171819202122232425262728293031" displayName="Table178910111213141516171819202122232425262728293031" ref="I5:I6" insertRow="1" totalsRowShown="0">
  <autoFilter ref="I5:I6" xr:uid="{7E0ADDF4-57ED-4816-A401-01A933B06E24}"/>
  <tableColumns count="1">
    <tableColumn id="1" xr3:uid="{3B359F3D-0201-4319-83A9-1AFEA52BB533}" name="Column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3153358-C633-4BC6-9402-605F68EAF143}" name="Table1789101112131415161718192021222324252627282930" displayName="Table1789101112131415161718192021222324252627282930" ref="I5:I6" insertRow="1" totalsRowShown="0">
  <autoFilter ref="I5:I6" xr:uid="{7E0ADDF4-57ED-4816-A401-01A933B06E24}"/>
  <tableColumns count="1">
    <tableColumn id="1" xr3:uid="{CC74DD96-3FC9-4DF2-BB89-9F2E3431E43D}" name="Column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88CEA5C-8DA5-4069-A5BB-950E716F44D8}" name="Table17891011121314151617181920212223242526272829" displayName="Table17891011121314151617181920212223242526272829" ref="I5:I6" insertRow="1" totalsRowShown="0">
  <autoFilter ref="I5:I6" xr:uid="{7E0ADDF4-57ED-4816-A401-01A933B06E24}"/>
  <tableColumns count="1">
    <tableColumn id="1" xr3:uid="{B8B3EBEA-ECF6-46A4-A8FB-12F503862697}" name="Column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77E1627-CFD5-4B61-AC4E-865E2F9B9880}" name="Table178910111213141516171819202122232425262728" displayName="Table178910111213141516171819202122232425262728" ref="I5:I6" insertRow="1" totalsRowShown="0">
  <autoFilter ref="I5:I6" xr:uid="{7E0ADDF4-57ED-4816-A401-01A933B06E24}"/>
  <tableColumns count="1">
    <tableColumn id="1" xr3:uid="{F7DE5E85-2092-46E3-B494-8E1F4928CD94}" name="Column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1C498ED-5F8E-4134-8609-6EA96F9DB953}" name="Table1789101112131415161718192021222324252627" displayName="Table1789101112131415161718192021222324252627" ref="I5:I6" insertRow="1" totalsRowShown="0">
  <autoFilter ref="I5:I6" xr:uid="{7E0ADDF4-57ED-4816-A401-01A933B06E24}"/>
  <tableColumns count="1">
    <tableColumn id="1" xr3:uid="{85CE32D4-1C4A-4E95-960F-B0159FE3FE59}" name="Column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7CE2FF0-D51A-4AD3-BE54-BD3BD38322D6}" name="Table17891011121314151617181920212223242526" displayName="Table17891011121314151617181920212223242526" ref="I5:I6" insertRow="1" totalsRowShown="0">
  <autoFilter ref="I5:I6" xr:uid="{7E0ADDF4-57ED-4816-A401-01A933B06E24}"/>
  <tableColumns count="1">
    <tableColumn id="1" xr3:uid="{C54BEBBA-3A94-40EA-AB65-6881AC0D2F9F}" name="Column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C0D41C7-9D36-4EDD-AE85-8CA7BD3E3FEB}" name="Table178910111213141516171819202122232425" displayName="Table178910111213141516171819202122232425" ref="I5:I6" insertRow="1" totalsRowShown="0">
  <autoFilter ref="I5:I6" xr:uid="{7E0ADDF4-57ED-4816-A401-01A933B06E24}"/>
  <tableColumns count="1">
    <tableColumn id="1" xr3:uid="{41A4E6B6-567D-4F4E-A0BE-50EF728C99B1}" name="Column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25D5E9F-7918-4438-B3A5-53D6CAB39334}" name="Table1789101112131415161718192021222324" displayName="Table1789101112131415161718192021222324" ref="I5:I6" insertRow="1" totalsRowShown="0">
  <autoFilter ref="I5:I6" xr:uid="{7E0ADDF4-57ED-4816-A401-01A933B06E24}"/>
  <tableColumns count="1">
    <tableColumn id="1" xr3:uid="{0E02DC12-2C96-47EA-A1BC-F768541F1C1F}" name="Column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086BAA5-DF08-4861-A221-43D951C4E036}" name="Table17891011121314151617181920212223" displayName="Table17891011121314151617181920212223" ref="I5:I6" insertRow="1" totalsRowShown="0">
  <autoFilter ref="I5:I6" xr:uid="{7E0ADDF4-57ED-4816-A401-01A933B06E24}"/>
  <tableColumns count="1">
    <tableColumn id="1" xr3:uid="{B3F208DF-F8A8-4811-A042-56DF1D85B84E}" name="Column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ECB13CF-A028-4D86-859A-05FB15E630BB}" name="Table178910111213141516171819202122" displayName="Table178910111213141516171819202122" ref="I5:I6" insertRow="1" totalsRowShown="0">
  <autoFilter ref="I5:I6" xr:uid="{7E0ADDF4-57ED-4816-A401-01A933B06E24}"/>
  <tableColumns count="1">
    <tableColumn id="1" xr3:uid="{934999E0-87E6-4B50-A3A8-0DE3ABAF780A}" name="Column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769282-07D3-4DE5-AA51-177E134BC73B}" name="Table1789101112131415161718192021" displayName="Table1789101112131415161718192021" ref="I5:I6" insertRow="1" totalsRowShown="0">
  <autoFilter ref="I5:I6" xr:uid="{7E0ADDF4-57ED-4816-A401-01A933B06E24}"/>
  <tableColumns count="1">
    <tableColumn id="1" xr3:uid="{F41D02EA-DF02-48D9-A584-F3A86BAD8C54}" name="Column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3D27E14-18BE-4A4D-A564-924CB2466B7C}" name="Table17891011121314151617181920" displayName="Table17891011121314151617181920" ref="I5:I6" insertRow="1" totalsRowShown="0">
  <autoFilter ref="I5:I6" xr:uid="{7E0ADDF4-57ED-4816-A401-01A933B06E24}"/>
  <tableColumns count="1">
    <tableColumn id="1" xr3:uid="{9F63B761-5CA5-46BF-98FD-123C16621B0E}" name="Column1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B6AEACF-C5CF-45F9-AABF-D2E6FB8DF7C3}" name="Table178910111213141516171819" displayName="Table178910111213141516171819" ref="I5:I6" insertRow="1" totalsRowShown="0">
  <autoFilter ref="I5:I6" xr:uid="{7E0ADDF4-57ED-4816-A401-01A933B06E24}"/>
  <tableColumns count="1">
    <tableColumn id="1" xr3:uid="{F40F31AF-1102-41DE-B01B-E3FD00231F77}" name="Column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68B7C90-6086-40CA-B3D0-A37CAB5C2B01}" name="Table17891011121314151617" displayName="Table17891011121314151617" ref="I5:I6" insertRow="1" totalsRowShown="0">
  <autoFilter ref="I5:I6" xr:uid="{7E0ADDF4-57ED-4816-A401-01A933B06E24}"/>
  <tableColumns count="1">
    <tableColumn id="1" xr3:uid="{B2A676CC-85A7-4295-8C2A-50CA702B1381}" name="Column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7929BED-933F-4ECD-888D-35AD389F48F7}" name="Table178910111213141516" displayName="Table178910111213141516" ref="I5:I6" insertRow="1" totalsRowShown="0">
  <autoFilter ref="I5:I6" xr:uid="{7E0ADDF4-57ED-4816-A401-01A933B06E24}"/>
  <tableColumns count="1">
    <tableColumn id="1" xr3:uid="{AD2869C6-1ECB-484D-B8B6-1E05C143B82A}" name="Column1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06531FA-DB5B-4997-9171-D83F35E44AEB}" name="Table1789101112131415" displayName="Table1789101112131415" ref="I5:I6" insertRow="1" totalsRowShown="0">
  <autoFilter ref="I5:I6" xr:uid="{7E0ADDF4-57ED-4816-A401-01A933B06E24}"/>
  <tableColumns count="1">
    <tableColumn id="1" xr3:uid="{A337DEAF-AEE3-44E1-993D-EBEF0960EFBF}" name="Column1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E5E8EE7-174B-4467-9D06-32B274164761}" name="Table17891011121314" displayName="Table17891011121314" ref="I5:I6" insertRow="1" totalsRowShown="0">
  <autoFilter ref="I5:I6" xr:uid="{7E0ADDF4-57ED-4816-A401-01A933B06E24}"/>
  <tableColumns count="1">
    <tableColumn id="1" xr3:uid="{2DA26C67-F703-426B-A611-166FD7476017}" name="Column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BC4A817-6CBC-4C96-9D22-63988CF98EA1}" name="Table178910111213" displayName="Table178910111213" ref="I5:I6" insertRow="1" totalsRowShown="0">
  <autoFilter ref="I5:I6" xr:uid="{7E0ADDF4-57ED-4816-A401-01A933B06E24}"/>
  <tableColumns count="1">
    <tableColumn id="1" xr3:uid="{40AB1FB3-C91F-49F2-B337-2AA1777021E7}" name="Column1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4215E09-C010-4338-A131-98487B68FC73}" name="Table1789101112" displayName="Table1789101112" ref="I5:I6" insertRow="1" totalsRowShown="0">
  <autoFilter ref="I5:I6" xr:uid="{7E0ADDF4-57ED-4816-A401-01A933B06E24}"/>
  <tableColumns count="1">
    <tableColumn id="1" xr3:uid="{C45E84DE-BC83-4540-B6D6-10D16D8FC4B0}" name="Column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F083558-A05E-4755-8750-BA5D4669B944}" name="Table17891011" displayName="Table17891011" ref="I5:I6" insertRow="1" totalsRowShown="0">
  <autoFilter ref="I5:I6" xr:uid="{7E0ADDF4-57ED-4816-A401-01A933B06E24}"/>
  <tableColumns count="1">
    <tableColumn id="1" xr3:uid="{5F7CA358-149C-4D2A-9082-504A13AB8CC1}" name="Column1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7B1C73-A29D-4927-900A-00D846F894A6}" name="Table178910" displayName="Table178910" ref="I5:I6" insertRow="1" totalsRowShown="0">
  <autoFilter ref="I5:I6" xr:uid="{7E0ADDF4-57ED-4816-A401-01A933B06E24}"/>
  <tableColumns count="1">
    <tableColumn id="1" xr3:uid="{453A1C17-01E3-439F-917E-D3D60879F702}" name="Column1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F88AFD-9517-4559-B9F3-D3DA6D11BA23}" name="Table178" displayName="Table178" ref="I5:I6" insertRow="1" totalsRowShown="0">
  <autoFilter ref="I5:I6" xr:uid="{7E0ADDF4-57ED-4816-A401-01A933B06E24}"/>
  <tableColumns count="1">
    <tableColumn id="1" xr3:uid="{6B986F42-8776-486E-9A3D-A6FD892919CB}" name="Column1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42C2DA-D015-4B67-B0EC-49E60CAB789B}" name="Table17" displayName="Table17" ref="I5:I6" insertRow="1" totalsRowShown="0">
  <autoFilter ref="I5:I6" xr:uid="{7E0ADDF4-57ED-4816-A401-01A933B06E24}"/>
  <tableColumns count="1">
    <tableColumn id="1" xr3:uid="{CE0B4945-CBA1-424C-BEE4-0CEC50C2BC70}" name="Column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AC3B19-4AA1-46A0-AA60-39F8E08F0A02}" name="Table16" displayName="Table16" ref="I5:I6" insertRow="1" totalsRowShown="0">
  <autoFilter ref="I5:I6" xr:uid="{7E0ADDF4-57ED-4816-A401-01A933B06E24}"/>
  <tableColumns count="1">
    <tableColumn id="1" xr3:uid="{31971C99-58A1-45FE-B71A-85229220E12B}" name="Column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17794F-48EB-49EA-8F57-33B47701F5B6}" name="Table14" displayName="Table14" ref="I5:I6" insertRow="1" totalsRowShown="0">
  <autoFilter ref="I5:I6" xr:uid="{7E0ADDF4-57ED-4816-A401-01A933B06E24}"/>
  <tableColumns count="1">
    <tableColumn id="1" xr3:uid="{126A9F8A-6C61-493C-AE8F-FB63BACEB78B}" name="Column1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7359CE-FCB3-4A13-89C5-69044A84F2DD}" name="Table13" displayName="Table13" ref="I5:I6" insertRow="1" totalsRowShown="0">
  <autoFilter ref="I5:I6" xr:uid="{7E0ADDF4-57ED-4816-A401-01A933B06E24}"/>
  <tableColumns count="1">
    <tableColumn id="1" xr3:uid="{890D99D9-4D70-4DBD-89BC-C845712E8322}" name="Column1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ADDF4-57ED-4816-A401-01A933B06E24}" name="Table1" displayName="Table1" ref="I5:I6" insertRow="1" totalsRowShown="0">
  <autoFilter ref="I5:I6" xr:uid="{7E0ADDF4-57ED-4816-A401-01A933B06E24}"/>
  <tableColumns count="1">
    <tableColumn id="1" xr3:uid="{74DE3E25-8473-4BEE-8CC0-1576D3FF828B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2E11-9BFC-4C09-90D4-2C2DC5811F1D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158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7709120211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250233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159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46202</v>
      </c>
      <c r="C11" s="35" t="s">
        <v>160</v>
      </c>
      <c r="D11" s="36"/>
      <c r="E11" s="16" t="s">
        <v>73</v>
      </c>
      <c r="F11" s="17"/>
      <c r="G11" s="17">
        <v>500000</v>
      </c>
      <c r="H11" s="18" t="s">
        <v>59</v>
      </c>
    </row>
    <row r="12" spans="1:9" ht="18.5" x14ac:dyDescent="0.35">
      <c r="A12" s="14">
        <v>2</v>
      </c>
      <c r="B12" s="15">
        <v>46152</v>
      </c>
      <c r="C12" s="35" t="s">
        <v>161</v>
      </c>
      <c r="D12" s="36"/>
      <c r="E12" s="19" t="s">
        <v>30</v>
      </c>
      <c r="F12" s="17"/>
      <c r="G12" s="17"/>
      <c r="H12" s="18" t="s">
        <v>59</v>
      </c>
    </row>
    <row r="13" spans="1:9" ht="18.5" x14ac:dyDescent="0.35">
      <c r="A13" s="14">
        <v>3</v>
      </c>
      <c r="B13" s="15">
        <v>46207</v>
      </c>
      <c r="C13" s="35" t="s">
        <v>162</v>
      </c>
      <c r="D13" s="36"/>
      <c r="E13" s="20" t="s">
        <v>30</v>
      </c>
      <c r="F13" s="17"/>
      <c r="G13" s="17"/>
      <c r="H13" s="18"/>
    </row>
    <row r="14" spans="1:9" ht="18.5" x14ac:dyDescent="0.35">
      <c r="A14" s="14">
        <v>4</v>
      </c>
      <c r="B14" s="15">
        <v>46256</v>
      </c>
      <c r="C14" s="35" t="s">
        <v>163</v>
      </c>
      <c r="D14" s="36"/>
      <c r="E14" s="20" t="s">
        <v>30</v>
      </c>
      <c r="F14" s="17"/>
      <c r="G14" s="17"/>
      <c r="H14" s="18"/>
    </row>
    <row r="15" spans="1:9" ht="18.5" x14ac:dyDescent="0.35">
      <c r="A15" s="14">
        <v>5</v>
      </c>
      <c r="B15" s="15"/>
      <c r="C15" s="35"/>
      <c r="D15" s="36"/>
      <c r="E15" s="20"/>
      <c r="F15" s="17"/>
      <c r="G15" s="17"/>
      <c r="H15" s="18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SAMUJI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7">
    <mergeCell ref="F22:H22"/>
    <mergeCell ref="F24:H24"/>
    <mergeCell ref="F30:H30"/>
    <mergeCell ref="C11:D11"/>
    <mergeCell ref="C12:D12"/>
    <mergeCell ref="C13:D13"/>
    <mergeCell ref="C14:D14"/>
    <mergeCell ref="C15:D15"/>
    <mergeCell ref="F16:H16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C273-D190-4B65-9755-A91903907B86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151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17001070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/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55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46200</v>
      </c>
      <c r="C11" s="35" t="s">
        <v>152</v>
      </c>
      <c r="D11" s="36"/>
      <c r="E11" s="16"/>
      <c r="F11" s="17"/>
      <c r="G11" s="17"/>
      <c r="H11" s="18" t="s">
        <v>59</v>
      </c>
    </row>
    <row r="12" spans="1:9" ht="18.5" x14ac:dyDescent="0.35">
      <c r="A12" s="14">
        <v>2</v>
      </c>
      <c r="B12" s="15">
        <v>46153</v>
      </c>
      <c r="C12" s="35" t="s">
        <v>153</v>
      </c>
      <c r="D12" s="36"/>
      <c r="E12" s="19"/>
      <c r="F12" s="17"/>
      <c r="G12" s="17"/>
      <c r="H12" s="18"/>
    </row>
    <row r="13" spans="1:9" ht="18.5" x14ac:dyDescent="0.35">
      <c r="A13" s="14">
        <v>3</v>
      </c>
      <c r="B13" s="15">
        <v>46185</v>
      </c>
      <c r="C13" s="35" t="s">
        <v>154</v>
      </c>
      <c r="D13" s="36"/>
      <c r="E13" s="20"/>
      <c r="F13" s="17"/>
      <c r="G13" s="17"/>
      <c r="H13" s="18"/>
    </row>
    <row r="14" spans="1:9" ht="18.5" x14ac:dyDescent="0.35">
      <c r="A14" s="14">
        <v>4</v>
      </c>
      <c r="B14" s="15"/>
      <c r="C14" s="35"/>
      <c r="D14" s="36"/>
      <c r="E14" s="20"/>
      <c r="F14" s="17"/>
      <c r="G14" s="17"/>
      <c r="H14" s="18"/>
    </row>
    <row r="15" spans="1:9" ht="18.5" x14ac:dyDescent="0.35">
      <c r="A15" s="14">
        <v>5</v>
      </c>
      <c r="B15" s="15"/>
      <c r="C15" s="35"/>
      <c r="D15" s="36"/>
      <c r="E15" s="20"/>
      <c r="F15" s="17"/>
      <c r="G15" s="17"/>
      <c r="H15" s="18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INDRA P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7">
    <mergeCell ref="F22:H22"/>
    <mergeCell ref="F24:H24"/>
    <mergeCell ref="F30:H30"/>
    <mergeCell ref="C11:D11"/>
    <mergeCell ref="C12:D12"/>
    <mergeCell ref="C13:D13"/>
    <mergeCell ref="C14:D14"/>
    <mergeCell ref="C15:D15"/>
    <mergeCell ref="F16:H16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F4A4-DE9C-4639-85B3-7879DEE1F93F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0" t="s">
        <v>26</v>
      </c>
      <c r="B1" s="40"/>
      <c r="C1" s="40"/>
      <c r="D1" s="40"/>
      <c r="E1" s="40"/>
      <c r="F1" s="40"/>
      <c r="G1" s="40"/>
      <c r="H1" s="40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148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17002078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/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55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46178</v>
      </c>
      <c r="C11" s="35" t="s">
        <v>149</v>
      </c>
      <c r="D11" s="36"/>
      <c r="E11" s="16"/>
      <c r="F11" s="17"/>
      <c r="G11" s="17"/>
      <c r="H11" s="18" t="s">
        <v>59</v>
      </c>
    </row>
    <row r="12" spans="1:9" ht="18.5" x14ac:dyDescent="0.35">
      <c r="A12" s="14">
        <v>2</v>
      </c>
      <c r="B12" s="15">
        <v>46179</v>
      </c>
      <c r="C12" s="35" t="s">
        <v>150</v>
      </c>
      <c r="D12" s="36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/>
      <c r="H13" s="18"/>
    </row>
    <row r="14" spans="1:9" ht="18.5" x14ac:dyDescent="0.35">
      <c r="A14" s="14">
        <v>4</v>
      </c>
      <c r="B14" s="15"/>
      <c r="C14" s="35"/>
      <c r="D14" s="36"/>
      <c r="E14" s="20"/>
      <c r="F14" s="17"/>
      <c r="G14" s="17"/>
      <c r="H14" s="18"/>
    </row>
    <row r="15" spans="1:9" ht="18.5" x14ac:dyDescent="0.35">
      <c r="A15" s="14">
        <v>5</v>
      </c>
      <c r="B15" s="15"/>
      <c r="C15" s="35"/>
      <c r="D15" s="36"/>
      <c r="E15" s="20"/>
      <c r="F15" s="17"/>
      <c r="G15" s="17"/>
      <c r="H15" s="18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MARISA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7">
    <mergeCell ref="F22:H22"/>
    <mergeCell ref="F24:H24"/>
    <mergeCell ref="F30:H30"/>
    <mergeCell ref="C11:D11"/>
    <mergeCell ref="C12:D12"/>
    <mergeCell ref="C13:D13"/>
    <mergeCell ref="C14:D14"/>
    <mergeCell ref="C15:D15"/>
    <mergeCell ref="F16:H16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E38F-49A1-458A-8B44-930EE62BA236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143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17001009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/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55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46130</v>
      </c>
      <c r="C11" s="35" t="s">
        <v>144</v>
      </c>
      <c r="D11" s="36"/>
      <c r="E11" s="16"/>
      <c r="F11" s="17"/>
      <c r="G11" s="17"/>
      <c r="H11" s="18" t="s">
        <v>59</v>
      </c>
    </row>
    <row r="12" spans="1:9" ht="18.5" x14ac:dyDescent="0.35">
      <c r="A12" s="14">
        <v>2</v>
      </c>
      <c r="B12" s="15">
        <v>46153</v>
      </c>
      <c r="C12" s="35" t="s">
        <v>145</v>
      </c>
      <c r="D12" s="36"/>
      <c r="E12" s="19"/>
      <c r="F12" s="17"/>
      <c r="G12" s="17"/>
      <c r="H12" s="18"/>
    </row>
    <row r="13" spans="1:9" ht="18.5" x14ac:dyDescent="0.35">
      <c r="A13" s="14">
        <v>3</v>
      </c>
      <c r="B13" s="15">
        <v>46160</v>
      </c>
      <c r="C13" s="35" t="s">
        <v>145</v>
      </c>
      <c r="D13" s="36"/>
      <c r="E13" s="20"/>
      <c r="F13" s="17"/>
      <c r="G13" s="17"/>
      <c r="H13" s="18"/>
    </row>
    <row r="14" spans="1:9" ht="18.5" x14ac:dyDescent="0.35">
      <c r="A14" s="14">
        <v>4</v>
      </c>
      <c r="B14" s="15" t="s">
        <v>146</v>
      </c>
      <c r="C14" s="35" t="s">
        <v>147</v>
      </c>
      <c r="D14" s="36"/>
      <c r="E14" s="20"/>
      <c r="F14" s="17"/>
      <c r="G14" s="17"/>
      <c r="H14" s="18"/>
    </row>
    <row r="15" spans="1:9" ht="18.5" x14ac:dyDescent="0.35">
      <c r="A15" s="14">
        <v>5</v>
      </c>
      <c r="B15" s="15"/>
      <c r="C15" s="35"/>
      <c r="D15" s="36"/>
      <c r="E15" s="20"/>
      <c r="F15" s="17"/>
      <c r="G15" s="17"/>
      <c r="H15" s="18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SHERMAN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7">
    <mergeCell ref="F24:H24"/>
    <mergeCell ref="F30:H30"/>
    <mergeCell ref="C14:D14"/>
    <mergeCell ref="C15:D15"/>
    <mergeCell ref="C11:D11"/>
    <mergeCell ref="C12:D12"/>
    <mergeCell ref="C13:D13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E23B-CC23-4D92-8A12-D8EF8EE3CAED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32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17000595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250266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46134</v>
      </c>
      <c r="C11" s="35" t="s">
        <v>140</v>
      </c>
      <c r="D11" s="36"/>
      <c r="E11" s="16" t="s">
        <v>127</v>
      </c>
      <c r="F11" s="17"/>
      <c r="G11" s="17"/>
      <c r="H11" s="18" t="s">
        <v>59</v>
      </c>
    </row>
    <row r="12" spans="1:9" ht="18.5" x14ac:dyDescent="0.35">
      <c r="A12" s="14">
        <v>2</v>
      </c>
      <c r="B12" s="15">
        <v>46147</v>
      </c>
      <c r="C12" s="35" t="s">
        <v>140</v>
      </c>
      <c r="D12" s="36"/>
      <c r="E12" s="19" t="s">
        <v>127</v>
      </c>
      <c r="F12" s="17"/>
      <c r="G12" s="17"/>
      <c r="H12" s="18"/>
    </row>
    <row r="13" spans="1:9" ht="18.5" x14ac:dyDescent="0.35">
      <c r="A13" s="14">
        <v>3</v>
      </c>
      <c r="B13" s="15">
        <v>46191</v>
      </c>
      <c r="C13" s="35" t="s">
        <v>140</v>
      </c>
      <c r="D13" s="36"/>
      <c r="E13" s="20" t="s">
        <v>127</v>
      </c>
      <c r="F13" s="17"/>
      <c r="G13" s="17"/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MAMAN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8EF3-C00E-457E-BF6D-F6B1248B49D4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1" t="s">
        <v>26</v>
      </c>
      <c r="B1" s="41"/>
      <c r="C1" s="41"/>
      <c r="D1" s="41"/>
      <c r="E1" s="41"/>
      <c r="F1" s="41"/>
      <c r="G1" s="41"/>
      <c r="H1" s="41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136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17001128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/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55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46185</v>
      </c>
      <c r="C11" s="35" t="s">
        <v>137</v>
      </c>
      <c r="D11" s="36"/>
      <c r="E11" s="16" t="s">
        <v>127</v>
      </c>
      <c r="F11" s="17"/>
      <c r="G11" s="17"/>
      <c r="H11" s="18" t="s">
        <v>59</v>
      </c>
    </row>
    <row r="12" spans="1:9" ht="18.5" x14ac:dyDescent="0.35">
      <c r="A12" s="14">
        <v>2</v>
      </c>
      <c r="B12" s="15">
        <v>46185</v>
      </c>
      <c r="C12" s="37" t="s">
        <v>138</v>
      </c>
      <c r="D12" s="38"/>
      <c r="E12" s="19" t="s">
        <v>127</v>
      </c>
      <c r="F12" s="17"/>
      <c r="G12" s="17"/>
      <c r="H12" s="18"/>
    </row>
    <row r="13" spans="1:9" ht="18.5" x14ac:dyDescent="0.35">
      <c r="A13" s="14">
        <v>3</v>
      </c>
      <c r="B13" s="15">
        <v>46189</v>
      </c>
      <c r="C13" s="35" t="s">
        <v>139</v>
      </c>
      <c r="D13" s="36"/>
      <c r="E13" s="20" t="s">
        <v>127</v>
      </c>
      <c r="F13" s="17"/>
      <c r="G13" s="17"/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>ARGENT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D1EB-CC45-487A-BB3E-B73BAF38F2E2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1" t="s">
        <v>26</v>
      </c>
      <c r="B1" s="41"/>
      <c r="C1" s="41"/>
      <c r="D1" s="41"/>
      <c r="E1" s="41"/>
      <c r="F1" s="41"/>
      <c r="G1" s="41"/>
      <c r="H1" s="41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134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17001022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/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55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46266</v>
      </c>
      <c r="C11" s="35" t="s">
        <v>135</v>
      </c>
      <c r="D11" s="36"/>
      <c r="E11" s="16" t="s">
        <v>127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JHONENSOM G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AEB2-F8FA-442D-A245-B1EEB5C8E483}">
  <dimension ref="A1:I30"/>
  <sheetViews>
    <sheetView zoomScale="74" workbookViewId="0">
      <selection activeCell="G11" sqref="G1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132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17001342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250249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46266</v>
      </c>
      <c r="C11" s="35" t="s">
        <v>133</v>
      </c>
      <c r="D11" s="36"/>
      <c r="E11" s="16" t="s">
        <v>127</v>
      </c>
      <c r="F11" s="17"/>
      <c r="G11" s="43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ABDUL ROHMAN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F13C-F567-4373-AEA4-5377EB8FB000}">
  <dimension ref="A1:I30"/>
  <sheetViews>
    <sheetView zoomScale="74" workbookViewId="0">
      <selection activeCell="G11" sqref="G1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0" t="s">
        <v>26</v>
      </c>
      <c r="B1" s="40"/>
      <c r="C1" s="40"/>
      <c r="D1" s="40"/>
      <c r="E1" s="40"/>
      <c r="F1" s="40"/>
      <c r="G1" s="40"/>
      <c r="H1" s="40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129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17002170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/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55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46292</v>
      </c>
      <c r="C11" s="35" t="s">
        <v>130</v>
      </c>
      <c r="D11" s="36"/>
      <c r="E11" s="16" t="s">
        <v>127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FIKRI R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6F31-BE17-4D31-8527-692036031F56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125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17000590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250242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46289</v>
      </c>
      <c r="C11" s="35" t="s">
        <v>126</v>
      </c>
      <c r="D11" s="36"/>
      <c r="E11" s="16" t="s">
        <v>127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KUSNADI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EC07-A262-426A-87D8-0E96B929B660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122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17000346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250226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46289</v>
      </c>
      <c r="C11" s="35" t="s">
        <v>123</v>
      </c>
      <c r="D11" s="36"/>
      <c r="E11" s="16" t="s">
        <v>76</v>
      </c>
      <c r="F11" s="17" t="s">
        <v>112</v>
      </c>
      <c r="G11" s="17">
        <v>200000</v>
      </c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DEDE E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B147-CBBD-42A9-B125-80B1604067D4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120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17001324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250268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46290</v>
      </c>
      <c r="C11" s="35" t="s">
        <v>121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GUMILAR AZIZ C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02F4-94BE-4935-BF88-82B35D042680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117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17002080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250244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46279</v>
      </c>
      <c r="C11" s="35" t="s">
        <v>118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GUGUN JUANDA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9ABC-C16D-4EFE-8C15-7A5530006426}">
  <dimension ref="A1:I30"/>
  <sheetViews>
    <sheetView zoomScale="74" workbookViewId="0">
      <selection activeCell="C18" sqref="C18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26" t="s">
        <v>26</v>
      </c>
      <c r="B1" s="26"/>
      <c r="C1" s="26"/>
      <c r="D1" s="26"/>
      <c r="E1" s="26"/>
      <c r="F1" s="26"/>
      <c r="G1" s="26"/>
      <c r="H1" s="26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115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170000778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250225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46266</v>
      </c>
      <c r="C11" s="35" t="s">
        <v>116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MUFLIH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813C-EA4F-4AEB-B5FE-6EFEB788F653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110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831111896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250225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46269</v>
      </c>
      <c r="C11" s="35" t="s">
        <v>111</v>
      </c>
      <c r="D11" s="36"/>
      <c r="E11" s="16" t="s">
        <v>76</v>
      </c>
      <c r="F11" s="17" t="s">
        <v>112</v>
      </c>
      <c r="G11" s="17">
        <v>200000</v>
      </c>
      <c r="H11" s="18" t="s">
        <v>59</v>
      </c>
    </row>
    <row r="12" spans="1:9" ht="18.5" x14ac:dyDescent="0.35">
      <c r="A12" s="14">
        <v>2</v>
      </c>
      <c r="B12" s="15">
        <v>46200</v>
      </c>
      <c r="C12" s="37" t="s">
        <v>162</v>
      </c>
      <c r="D12" s="38"/>
      <c r="E12" s="19" t="s">
        <v>30</v>
      </c>
      <c r="F12" s="17"/>
      <c r="G12" s="17"/>
      <c r="H12" s="18" t="s">
        <v>59</v>
      </c>
    </row>
    <row r="13" spans="1:9" ht="18.5" x14ac:dyDescent="0.35">
      <c r="A13" s="14">
        <v>3</v>
      </c>
      <c r="B13" s="15">
        <v>46149</v>
      </c>
      <c r="C13" s="35" t="s">
        <v>164</v>
      </c>
      <c r="D13" s="36"/>
      <c r="E13" s="20" t="s">
        <v>76</v>
      </c>
      <c r="F13" s="17" t="s">
        <v>112</v>
      </c>
      <c r="G13" s="17">
        <v>200000</v>
      </c>
      <c r="H13" s="18"/>
    </row>
    <row r="14" spans="1:9" ht="18.5" x14ac:dyDescent="0.35">
      <c r="A14" s="14">
        <v>4</v>
      </c>
      <c r="B14" s="15"/>
      <c r="C14" s="35"/>
      <c r="D14" s="36"/>
      <c r="E14" s="20"/>
      <c r="F14" s="17"/>
      <c r="G14" s="17">
        <f>+G13+E14-F14</f>
        <v>200000</v>
      </c>
      <c r="H14" s="18"/>
    </row>
    <row r="15" spans="1:9" ht="18.5" x14ac:dyDescent="0.35">
      <c r="A15" s="14">
        <v>5</v>
      </c>
      <c r="B15" s="15"/>
      <c r="C15" s="35"/>
      <c r="D15" s="36"/>
      <c r="E15" s="20"/>
      <c r="F15" s="17"/>
      <c r="G15" s="17">
        <f>+G14+E15-F15</f>
        <v>200000</v>
      </c>
      <c r="H15" s="18"/>
    </row>
    <row r="16" spans="1:9" ht="18.5" x14ac:dyDescent="0.35">
      <c r="A16" s="14">
        <v>6</v>
      </c>
      <c r="B16" s="15"/>
      <c r="C16" s="35"/>
      <c r="D16" s="36"/>
      <c r="E16" s="20"/>
      <c r="F16" s="17"/>
      <c r="G16" s="17">
        <f>+G15+E16-F16</f>
        <v>200000</v>
      </c>
      <c r="H16" s="18"/>
    </row>
    <row r="17" spans="1:8" ht="18.5" x14ac:dyDescent="0.35">
      <c r="A17" s="14">
        <v>7</v>
      </c>
      <c r="B17" s="15"/>
      <c r="C17" s="35"/>
      <c r="D17" s="36"/>
      <c r="E17" s="20"/>
      <c r="F17" s="17"/>
      <c r="G17" s="17">
        <f>+G16+E17-F17</f>
        <v>200000</v>
      </c>
      <c r="H17" s="18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NOFRIAL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8">
    <mergeCell ref="F24:H24"/>
    <mergeCell ref="F30:H30"/>
    <mergeCell ref="C11:D11"/>
    <mergeCell ref="C12:D12"/>
    <mergeCell ref="C13:D13"/>
    <mergeCell ref="F22:H22"/>
    <mergeCell ref="C14:D14"/>
    <mergeCell ref="C15:D15"/>
    <mergeCell ref="C16:D16"/>
    <mergeCell ref="C17:D17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093A-FC44-4B44-B0E7-55607785FD66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108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7812120066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250253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46268</v>
      </c>
      <c r="C11" s="35" t="s">
        <v>109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M SANGIDUL N A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8227-AE26-4DDC-990E-0A868571B0F4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107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17001802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250245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46267</v>
      </c>
      <c r="C11" s="35" t="s">
        <v>105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>
        <v>46266</v>
      </c>
      <c r="C12" s="37" t="s">
        <v>113</v>
      </c>
      <c r="D12" s="38"/>
      <c r="E12" s="19" t="s">
        <v>76</v>
      </c>
      <c r="F12" s="17" t="s">
        <v>114</v>
      </c>
      <c r="G12" s="17">
        <v>250000</v>
      </c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250000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FIRMAN HARI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C35B-26DB-40A8-8D44-47FD6A101A3D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104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170011011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250267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46269</v>
      </c>
      <c r="C11" s="35" t="s">
        <v>105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AGUS SUKMANA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4D79-575A-4E36-84BB-F0BD2F69477B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103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17001862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250258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46269</v>
      </c>
      <c r="C11" s="35" t="s">
        <v>100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LOMO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EE6E-5026-4B5F-B54F-7046E18593A4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99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17002154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250254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46269</v>
      </c>
      <c r="C11" s="35" t="s">
        <v>100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NURCAHYO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2B05-A2A6-4D8B-B489-58F1578042A5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97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17000598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250236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46271</v>
      </c>
      <c r="C11" s="35" t="s">
        <v>87</v>
      </c>
      <c r="D11" s="36"/>
      <c r="E11" s="16" t="s">
        <v>98</v>
      </c>
      <c r="F11" s="17"/>
      <c r="G11" s="17">
        <v>200000</v>
      </c>
      <c r="H11" s="18" t="s">
        <v>59</v>
      </c>
    </row>
    <row r="12" spans="1:9" ht="18.5" x14ac:dyDescent="0.35">
      <c r="A12" s="14">
        <v>2</v>
      </c>
      <c r="B12" s="15">
        <v>46134</v>
      </c>
      <c r="C12" s="37" t="s">
        <v>155</v>
      </c>
      <c r="D12" s="38"/>
      <c r="E12" s="19" t="s">
        <v>30</v>
      </c>
      <c r="F12" s="17"/>
      <c r="G12" s="17"/>
      <c r="H12" s="18"/>
    </row>
    <row r="13" spans="1:9" ht="18.5" x14ac:dyDescent="0.35">
      <c r="A13" s="14">
        <v>3</v>
      </c>
      <c r="B13" s="15">
        <v>46132</v>
      </c>
      <c r="C13" s="35" t="s">
        <v>155</v>
      </c>
      <c r="D13" s="36"/>
      <c r="E13" s="20" t="s">
        <v>30</v>
      </c>
      <c r="F13" s="17"/>
      <c r="G13" s="17" t="s">
        <v>157</v>
      </c>
      <c r="H13" s="18"/>
    </row>
    <row r="14" spans="1:9" ht="18.5" x14ac:dyDescent="0.35">
      <c r="A14" s="14">
        <v>4</v>
      </c>
      <c r="B14" s="15">
        <v>46182</v>
      </c>
      <c r="C14" s="35" t="s">
        <v>156</v>
      </c>
      <c r="D14" s="36"/>
      <c r="E14" s="20"/>
      <c r="F14" s="17"/>
      <c r="G14" s="17"/>
      <c r="H14" s="18"/>
    </row>
    <row r="15" spans="1:9" ht="18.5" x14ac:dyDescent="0.35">
      <c r="A15" s="14">
        <v>5</v>
      </c>
      <c r="B15" s="15">
        <v>46228</v>
      </c>
      <c r="C15" s="35" t="s">
        <v>87</v>
      </c>
      <c r="D15" s="36"/>
      <c r="E15" s="20" t="s">
        <v>98</v>
      </c>
      <c r="F15" s="17"/>
      <c r="G15" s="17">
        <v>200000</v>
      </c>
      <c r="H15" s="18"/>
    </row>
    <row r="16" spans="1:9" ht="18.5" x14ac:dyDescent="0.35">
      <c r="A16" s="14">
        <v>6</v>
      </c>
      <c r="B16" s="15"/>
      <c r="C16" s="35"/>
      <c r="D16" s="36"/>
      <c r="E16" s="20"/>
      <c r="F16" s="17"/>
      <c r="G16" s="17">
        <f>+G15+E16-F16</f>
        <v>200000</v>
      </c>
      <c r="H16" s="18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ISHAK OMA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7">
    <mergeCell ref="F24:H24"/>
    <mergeCell ref="F30:H30"/>
    <mergeCell ref="C11:D11"/>
    <mergeCell ref="C12:D12"/>
    <mergeCell ref="C13:D13"/>
    <mergeCell ref="F22:H22"/>
    <mergeCell ref="C14:D14"/>
    <mergeCell ref="C15:D15"/>
    <mergeCell ref="C16:D16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6063-42D8-4306-8E27-491106ED70A1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95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17001891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250233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46272</v>
      </c>
      <c r="C11" s="35" t="s">
        <v>93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>RUDDOF HERBERT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09A3-0A45-4E60-8D16-CC80FA815CF2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92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17000537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250273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46271</v>
      </c>
      <c r="C11" s="35" t="s">
        <v>96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ADE TISNA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2154-2A6A-4441-8005-9E740B13C6E0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90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790110747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250261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46273</v>
      </c>
      <c r="C11" s="35" t="s">
        <v>91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>
        <v>46292</v>
      </c>
      <c r="C12" s="37" t="s">
        <v>131</v>
      </c>
      <c r="D12" s="38"/>
      <c r="E12" s="19" t="s">
        <v>30</v>
      </c>
      <c r="F12" s="17"/>
      <c r="G12" s="17"/>
      <c r="H12" s="18" t="s">
        <v>59</v>
      </c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JOKO SANTOSO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659D-604B-450D-BCDA-8DBC73B66952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88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17001529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250235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46273</v>
      </c>
      <c r="C11" s="35" t="s">
        <v>89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>
        <v>46289</v>
      </c>
      <c r="C12" s="37" t="s">
        <v>119</v>
      </c>
      <c r="D12" s="38"/>
      <c r="E12" s="19" t="s">
        <v>30</v>
      </c>
      <c r="F12" s="17"/>
      <c r="G12" s="17"/>
      <c r="H12" s="18" t="s">
        <v>59</v>
      </c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ZEVA WILIAN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4DF8-AAEC-4538-8AE8-498E4D99BEC4}">
  <dimension ref="A1:I31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86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17000849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250230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46273</v>
      </c>
      <c r="C11" s="35" t="s">
        <v>87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>
        <v>46153</v>
      </c>
      <c r="C12" s="37" t="s">
        <v>141</v>
      </c>
      <c r="D12" s="38"/>
      <c r="E12" s="19" t="s">
        <v>30</v>
      </c>
      <c r="F12" s="17"/>
      <c r="G12" s="17"/>
      <c r="H12" s="18"/>
    </row>
    <row r="13" spans="1:9" ht="18.5" x14ac:dyDescent="0.35">
      <c r="A13" s="14">
        <v>3</v>
      </c>
      <c r="B13" s="15">
        <v>46191</v>
      </c>
      <c r="C13" s="35" t="s">
        <v>142</v>
      </c>
      <c r="D13" s="36"/>
      <c r="E13" s="20" t="s">
        <v>30</v>
      </c>
      <c r="F13" s="17"/>
      <c r="G13" s="17"/>
      <c r="H13" s="18"/>
    </row>
    <row r="14" spans="1:9" ht="18.5" x14ac:dyDescent="0.35">
      <c r="A14" s="14">
        <v>4</v>
      </c>
      <c r="B14" s="15">
        <v>46256</v>
      </c>
      <c r="C14" s="35" t="s">
        <v>87</v>
      </c>
      <c r="D14" s="36"/>
      <c r="E14" s="20" t="s">
        <v>98</v>
      </c>
      <c r="F14" s="17" t="s">
        <v>112</v>
      </c>
      <c r="G14" s="17">
        <v>200000</v>
      </c>
      <c r="H14" s="18"/>
      <c r="I14" s="5"/>
    </row>
    <row r="15" spans="1:9" ht="18.5" x14ac:dyDescent="0.35">
      <c r="A15" s="14">
        <v>5</v>
      </c>
      <c r="B15" s="15"/>
      <c r="C15" s="35"/>
      <c r="D15" s="36"/>
      <c r="E15" s="20"/>
      <c r="F15" s="17"/>
      <c r="G15" s="17">
        <f>+G14+E15-F15</f>
        <v>200000</v>
      </c>
      <c r="H15" s="18"/>
    </row>
    <row r="16" spans="1:9" ht="18.5" x14ac:dyDescent="0.35">
      <c r="A16" s="14">
        <v>6</v>
      </c>
      <c r="B16" s="15"/>
      <c r="C16" s="35"/>
      <c r="D16" s="36"/>
      <c r="E16" s="20"/>
      <c r="F16" s="17"/>
      <c r="G16" s="17">
        <f>+G15+E16-F16</f>
        <v>200000</v>
      </c>
      <c r="H16" s="18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AHMAD GUSTOMI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1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  <row r="31" spans="1:8" ht="18.5" x14ac:dyDescent="0.35">
      <c r="A31" s="22"/>
    </row>
  </sheetData>
  <mergeCells count="17">
    <mergeCell ref="F24:H24"/>
    <mergeCell ref="F30:H30"/>
    <mergeCell ref="C11:D11"/>
    <mergeCell ref="C12:D12"/>
    <mergeCell ref="C13:D13"/>
    <mergeCell ref="F22:H22"/>
    <mergeCell ref="C14:D14"/>
    <mergeCell ref="C15:D15"/>
    <mergeCell ref="C16:D16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15D9-FAC3-4846-A1FC-BD84C763230D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84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17001818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/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46274</v>
      </c>
      <c r="C11" s="35" t="s">
        <v>85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>
        <v>46270</v>
      </c>
      <c r="C12" s="37" t="s">
        <v>56</v>
      </c>
      <c r="D12" s="38"/>
      <c r="E12" s="19" t="s">
        <v>30</v>
      </c>
      <c r="F12" s="17"/>
      <c r="G12" s="17"/>
      <c r="H12" s="18" t="s">
        <v>59</v>
      </c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>ANANG M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49D9-EC92-4809-8F35-C298A1C63C67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82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17001814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250239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46274</v>
      </c>
      <c r="C11" s="35" t="s">
        <v>83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>
        <v>46269</v>
      </c>
      <c r="C12" s="37" t="s">
        <v>101</v>
      </c>
      <c r="D12" s="38"/>
      <c r="E12" s="19" t="s">
        <v>76</v>
      </c>
      <c r="F12" s="17"/>
      <c r="G12" s="17">
        <v>200000</v>
      </c>
      <c r="H12" s="18" t="s">
        <v>59</v>
      </c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200000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AGUS WANDI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865B-AD48-40A2-A3D6-9E72F71E21FE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80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17001018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250262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46277</v>
      </c>
      <c r="C11" s="35" t="s">
        <v>81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SONY BIN SAKAM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CF61-6360-4BE8-9E8F-A018B28E736B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77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17001852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55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46277</v>
      </c>
      <c r="C11" s="35" t="s">
        <v>78</v>
      </c>
      <c r="D11" s="36"/>
      <c r="E11" s="16" t="s">
        <v>76</v>
      </c>
      <c r="F11" s="17" t="s">
        <v>79</v>
      </c>
      <c r="G11" s="17">
        <v>300000</v>
      </c>
      <c r="H11" s="18" t="s">
        <v>59</v>
      </c>
    </row>
    <row r="12" spans="1:9" ht="18.5" x14ac:dyDescent="0.35">
      <c r="A12" s="14">
        <v>2</v>
      </c>
      <c r="B12" s="15">
        <v>46272</v>
      </c>
      <c r="C12" s="37" t="s">
        <v>94</v>
      </c>
      <c r="D12" s="38"/>
      <c r="E12" s="19" t="s">
        <v>30</v>
      </c>
      <c r="F12" s="17"/>
      <c r="G12" s="17"/>
      <c r="H12" s="18" t="s">
        <v>59</v>
      </c>
    </row>
    <row r="13" spans="1:9" ht="18.5" x14ac:dyDescent="0.35">
      <c r="A13" s="14">
        <v>3</v>
      </c>
      <c r="B13" s="15">
        <v>46289</v>
      </c>
      <c r="C13" s="35" t="s">
        <v>124</v>
      </c>
      <c r="D13" s="36"/>
      <c r="E13" s="20" t="s">
        <v>30</v>
      </c>
      <c r="F13" s="17"/>
      <c r="G13" s="17"/>
      <c r="H13" s="18" t="s">
        <v>59</v>
      </c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GILANG RENGGA SAPUTRA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F3A6-48CB-4D88-8F41-577AF8D0E74A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0" t="s">
        <v>26</v>
      </c>
      <c r="B1" s="40"/>
      <c r="C1" s="40"/>
      <c r="D1" s="40"/>
      <c r="E1" s="40"/>
      <c r="F1" s="40"/>
      <c r="G1" s="40"/>
      <c r="H1" s="40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72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17002184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55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46279</v>
      </c>
      <c r="C11" s="35" t="s">
        <v>75</v>
      </c>
      <c r="D11" s="36"/>
      <c r="E11" s="16" t="s">
        <v>73</v>
      </c>
      <c r="F11" s="17"/>
      <c r="G11" s="17"/>
      <c r="H11" s="18" t="s">
        <v>74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>RUDIYANTO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77D3-E45E-46B2-BC1E-A6348A5B3A58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0" t="s">
        <v>26</v>
      </c>
      <c r="B1" s="40"/>
      <c r="C1" s="40"/>
      <c r="D1" s="40"/>
      <c r="E1" s="40"/>
      <c r="F1" s="40"/>
      <c r="G1" s="40"/>
      <c r="H1" s="40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69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17002168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55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46280</v>
      </c>
      <c r="C11" s="35" t="s">
        <v>71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BAYU NUGROHO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5C3A-D547-4301-9FA1-7075561BB106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68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17000798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55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46280</v>
      </c>
      <c r="C11" s="35" t="s">
        <v>70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HAPIT T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6BD4-D95F-4F27-B990-5AC9A7809FC5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66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17000795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250242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46281</v>
      </c>
      <c r="C11" s="35" t="s">
        <v>67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>
        <v>46268</v>
      </c>
      <c r="C12" s="37" t="s">
        <v>106</v>
      </c>
      <c r="D12" s="38"/>
      <c r="E12" s="19" t="s">
        <v>30</v>
      </c>
      <c r="F12" s="17"/>
      <c r="G12" s="17"/>
      <c r="H12" s="18" t="s">
        <v>59</v>
      </c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SOBUR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73CA-B052-4FAF-AB99-25FBA8B8724B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64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17001883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 t="s">
        <v>65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55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46278</v>
      </c>
      <c r="C11" s="35" t="s">
        <v>63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RALIM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2157-39F9-439E-A833-CB3DB1EA088A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62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17001137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250270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46284</v>
      </c>
      <c r="C11" s="35" t="s">
        <v>63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A SUTRIADI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875D-5A50-44B5-891D-EB8562334B9B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60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17001407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250265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46286</v>
      </c>
      <c r="C11" s="35" t="s">
        <v>61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RONI P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AD35-E94E-47A8-AE83-63D282189B50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57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17000868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250257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46286</v>
      </c>
      <c r="C11" s="35" t="s">
        <v>58</v>
      </c>
      <c r="D11" s="36"/>
      <c r="E11" s="16" t="s">
        <v>30</v>
      </c>
      <c r="F11" s="17"/>
      <c r="G11" s="17"/>
      <c r="H11" s="18" t="s">
        <v>59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PARLINDUNGAN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AE2B-E7D4-455B-A76F-5ED44ED850E4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53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7213120708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250251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46285</v>
      </c>
      <c r="C11" s="35" t="s">
        <v>54</v>
      </c>
      <c r="D11" s="36"/>
      <c r="E11" s="16" t="s">
        <v>30</v>
      </c>
      <c r="F11" s="17"/>
      <c r="G11" s="17"/>
      <c r="H11" s="18" t="s">
        <v>45</v>
      </c>
    </row>
    <row r="12" spans="1:9" ht="18.5" x14ac:dyDescent="0.35">
      <c r="A12" s="14">
        <v>2</v>
      </c>
      <c r="B12" s="15"/>
      <c r="C12" s="37"/>
      <c r="D12" s="38"/>
      <c r="E12" s="19" t="s">
        <v>30</v>
      </c>
      <c r="F12" s="17"/>
      <c r="G12" s="17"/>
      <c r="H12" s="18" t="s">
        <v>25</v>
      </c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DEFI ANDRI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CA07-F421-41AD-BA5D-DCD3B9B5FF3C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46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17000603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 t="s">
        <v>48</v>
      </c>
      <c r="C6" s="11">
        <v>250247</v>
      </c>
      <c r="D6" s="5"/>
      <c r="E6" s="8"/>
      <c r="F6" s="4"/>
      <c r="G6" s="4"/>
      <c r="H6" s="9"/>
    </row>
    <row r="7" spans="1:9" ht="21" x14ac:dyDescent="0.35">
      <c r="A7" s="6" t="s">
        <v>49</v>
      </c>
      <c r="B7" s="6" t="s">
        <v>50</v>
      </c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46285</v>
      </c>
      <c r="C11" s="35" t="s">
        <v>52</v>
      </c>
      <c r="D11" s="36"/>
      <c r="E11" s="16" t="s">
        <v>30</v>
      </c>
      <c r="F11" s="17"/>
      <c r="G11" s="17"/>
      <c r="H11" s="18" t="s">
        <v>45</v>
      </c>
    </row>
    <row r="12" spans="1:9" ht="18.5" x14ac:dyDescent="0.35">
      <c r="A12" s="14">
        <v>2</v>
      </c>
      <c r="B12" s="15">
        <v>46270</v>
      </c>
      <c r="C12" s="37" t="s">
        <v>102</v>
      </c>
      <c r="D12" s="38"/>
      <c r="E12" s="19" t="s">
        <v>30</v>
      </c>
      <c r="F12" s="17"/>
      <c r="G12" s="17"/>
      <c r="H12" s="18" t="s">
        <v>25</v>
      </c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MOCH JENI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43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39F0-01B8-4C1A-9BBE-6490837BE9D7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42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>
        <v>17000971</v>
      </c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</v>
      </c>
      <c r="B6" s="6"/>
      <c r="C6" s="11"/>
      <c r="D6" s="5"/>
      <c r="E6" s="8"/>
      <c r="F6" s="4"/>
      <c r="G6" s="4"/>
      <c r="H6" s="9"/>
    </row>
    <row r="7" spans="1:9" ht="21" x14ac:dyDescent="0.35">
      <c r="A7" s="6" t="s">
        <v>5</v>
      </c>
      <c r="B7" s="6"/>
      <c r="C7" s="12"/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46303</v>
      </c>
      <c r="C11" s="35" t="s">
        <v>29</v>
      </c>
      <c r="D11" s="36"/>
      <c r="E11" s="16" t="s">
        <v>30</v>
      </c>
      <c r="F11" s="17"/>
      <c r="G11" s="17"/>
      <c r="H11" s="18" t="s">
        <v>25</v>
      </c>
    </row>
    <row r="12" spans="1:9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>MASHURI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32</v>
      </c>
      <c r="G30" s="34"/>
      <c r="H30" s="34"/>
    </row>
  </sheetData>
  <mergeCells count="16">
    <mergeCell ref="A1:H1"/>
    <mergeCell ref="A9:A10"/>
    <mergeCell ref="B9:B10"/>
    <mergeCell ref="C9:D10"/>
    <mergeCell ref="E9:E10"/>
    <mergeCell ref="F9:F10"/>
    <mergeCell ref="G9:G10"/>
    <mergeCell ref="H9:H10"/>
    <mergeCell ref="F24:H24"/>
    <mergeCell ref="F30:H30"/>
    <mergeCell ref="C11:D11"/>
    <mergeCell ref="C12:D12"/>
    <mergeCell ref="C13:D13"/>
    <mergeCell ref="F15:H15"/>
    <mergeCell ref="F16:H16"/>
    <mergeCell ref="F22:H22"/>
  </mergeCell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18B0-0C92-4657-A956-59E04290AB08}">
  <dimension ref="A1:H30"/>
  <sheetViews>
    <sheetView zoomScale="74" workbookViewId="0">
      <selection activeCell="E9" sqref="E9:E10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8" ht="28.5" x14ac:dyDescent="0.35">
      <c r="A1" s="40" t="s">
        <v>26</v>
      </c>
      <c r="B1" s="40"/>
      <c r="C1" s="40"/>
      <c r="D1" s="40"/>
      <c r="E1" s="40"/>
      <c r="F1" s="40"/>
      <c r="G1" s="40"/>
      <c r="H1" s="40"/>
    </row>
    <row r="2" spans="1:8" x14ac:dyDescent="0.35">
      <c r="A2" s="1"/>
      <c r="B2" s="1"/>
      <c r="C2" s="1"/>
      <c r="D2" s="2"/>
      <c r="E2" s="3"/>
      <c r="F2" s="4"/>
      <c r="G2" s="4"/>
      <c r="H2" s="5"/>
    </row>
    <row r="3" spans="1:8" ht="21" x14ac:dyDescent="0.35">
      <c r="A3" s="6" t="s">
        <v>0</v>
      </c>
      <c r="B3" s="6"/>
      <c r="C3" s="7" t="s">
        <v>39</v>
      </c>
      <c r="D3" s="5"/>
      <c r="E3" s="8"/>
      <c r="F3" s="4"/>
      <c r="G3" s="4"/>
      <c r="H3" s="9"/>
    </row>
    <row r="4" spans="1:8" ht="21" x14ac:dyDescent="0.35">
      <c r="A4" s="6" t="s">
        <v>1</v>
      </c>
      <c r="B4" s="6"/>
      <c r="C4" s="10"/>
      <c r="D4" s="5"/>
      <c r="E4" s="8"/>
      <c r="F4" s="4"/>
      <c r="G4" s="4"/>
      <c r="H4" s="9"/>
    </row>
    <row r="5" spans="1:8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</row>
    <row r="6" spans="1:8" ht="21" x14ac:dyDescent="0.35">
      <c r="A6" s="6" t="s">
        <v>4</v>
      </c>
      <c r="B6" s="6"/>
      <c r="C6" s="11"/>
      <c r="D6" s="5"/>
      <c r="E6" s="8"/>
      <c r="F6" s="4"/>
      <c r="G6" s="4"/>
      <c r="H6" s="9"/>
    </row>
    <row r="7" spans="1:8" ht="21" x14ac:dyDescent="0.35">
      <c r="A7" s="6" t="s">
        <v>5</v>
      </c>
      <c r="B7" s="6"/>
      <c r="C7" s="12"/>
      <c r="D7" s="7"/>
      <c r="E7" s="13"/>
      <c r="F7" s="4"/>
      <c r="G7" s="4"/>
      <c r="H7" s="9"/>
    </row>
    <row r="8" spans="1:8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8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8" x14ac:dyDescent="0.35">
      <c r="A10" s="27"/>
      <c r="B10" s="27"/>
      <c r="C10" s="30"/>
      <c r="D10" s="31"/>
      <c r="E10" s="32"/>
      <c r="F10" s="33"/>
      <c r="G10" s="33"/>
      <c r="H10" s="27"/>
    </row>
    <row r="11" spans="1:8" ht="18.5" x14ac:dyDescent="0.35">
      <c r="A11" s="14">
        <v>1</v>
      </c>
      <c r="B11" s="15">
        <v>46280</v>
      </c>
      <c r="C11" s="35" t="s">
        <v>40</v>
      </c>
      <c r="D11" s="36"/>
      <c r="E11" s="16" t="s">
        <v>35</v>
      </c>
      <c r="F11" s="17" t="s">
        <v>41</v>
      </c>
      <c r="G11" s="17">
        <v>650000</v>
      </c>
      <c r="H11" s="18" t="s">
        <v>36</v>
      </c>
    </row>
    <row r="12" spans="1:8" ht="18.5" x14ac:dyDescent="0.35">
      <c r="A12" s="14">
        <v>2</v>
      </c>
      <c r="B12" s="15"/>
      <c r="C12" s="37"/>
      <c r="D12" s="38"/>
      <c r="E12" s="19"/>
      <c r="F12" s="17"/>
      <c r="G12" s="17"/>
      <c r="H12" s="18"/>
    </row>
    <row r="13" spans="1:8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8" x14ac:dyDescent="0.35">
      <c r="A14" s="1"/>
      <c r="B14" s="1"/>
      <c r="C14" s="1"/>
      <c r="D14" s="5"/>
      <c r="E14" s="8"/>
      <c r="F14" s="4"/>
      <c r="G14" s="4"/>
      <c r="H14" s="5"/>
    </row>
    <row r="15" spans="1:8" ht="18.5" x14ac:dyDescent="0.35">
      <c r="A15" s="1"/>
      <c r="B15" s="5"/>
      <c r="C15" s="1"/>
      <c r="D15" s="5"/>
      <c r="E15" s="8"/>
      <c r="F15" s="34" t="s">
        <v>37</v>
      </c>
      <c r="G15" s="34"/>
      <c r="H15" s="34"/>
    </row>
    <row r="16" spans="1:8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LUTFI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32</v>
      </c>
      <c r="G30" s="34"/>
      <c r="H30" s="34"/>
    </row>
  </sheetData>
  <mergeCells count="16">
    <mergeCell ref="A1:H1"/>
    <mergeCell ref="A9:A10"/>
    <mergeCell ref="B9:B10"/>
    <mergeCell ref="C9:D10"/>
    <mergeCell ref="E9:E10"/>
    <mergeCell ref="F9:F10"/>
    <mergeCell ref="G9:G10"/>
    <mergeCell ref="H9:H10"/>
    <mergeCell ref="F24:H24"/>
    <mergeCell ref="F30:H30"/>
    <mergeCell ref="C11:D11"/>
    <mergeCell ref="C12:D12"/>
    <mergeCell ref="C13:D13"/>
    <mergeCell ref="F15:H15"/>
    <mergeCell ref="F16:H16"/>
    <mergeCell ref="F22:H2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7B42-ECA8-4EC3-A1E1-E3298D490772}">
  <dimension ref="A1:I30"/>
  <sheetViews>
    <sheetView zoomScale="74" workbookViewId="0">
      <selection activeCell="H13" sqref="H13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0" t="s">
        <v>26</v>
      </c>
      <c r="B1" s="40"/>
      <c r="C1" s="40"/>
      <c r="D1" s="40"/>
      <c r="E1" s="40"/>
      <c r="F1" s="40"/>
      <c r="G1" s="40"/>
      <c r="H1" s="40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33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/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</v>
      </c>
      <c r="B6" s="6"/>
      <c r="C6" s="11"/>
      <c r="D6" s="5"/>
      <c r="E6" s="8"/>
      <c r="F6" s="4"/>
      <c r="G6" s="4"/>
      <c r="H6" s="9"/>
    </row>
    <row r="7" spans="1:9" ht="21" x14ac:dyDescent="0.35">
      <c r="A7" s="6" t="s">
        <v>5</v>
      </c>
      <c r="B7" s="6"/>
      <c r="C7" s="12"/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46280</v>
      </c>
      <c r="C11" s="35" t="s">
        <v>34</v>
      </c>
      <c r="D11" s="36"/>
      <c r="E11" s="16" t="s">
        <v>35</v>
      </c>
      <c r="F11" s="17"/>
      <c r="G11" s="17">
        <v>910000</v>
      </c>
      <c r="H11" s="18" t="s">
        <v>36</v>
      </c>
    </row>
    <row r="12" spans="1:9" ht="18.5" x14ac:dyDescent="0.35">
      <c r="A12" s="14">
        <v>2</v>
      </c>
      <c r="B12" s="15">
        <v>46304</v>
      </c>
      <c r="C12" s="37" t="s">
        <v>38</v>
      </c>
      <c r="D12" s="38"/>
      <c r="E12" s="19" t="s">
        <v>35</v>
      </c>
      <c r="F12" s="17"/>
      <c r="G12" s="17">
        <v>600000</v>
      </c>
      <c r="H12" s="18" t="s">
        <v>36</v>
      </c>
    </row>
    <row r="13" spans="1:9" ht="18.5" x14ac:dyDescent="0.35">
      <c r="A13" s="14">
        <v>3</v>
      </c>
      <c r="B13" s="15">
        <v>46291</v>
      </c>
      <c r="C13" s="37" t="s">
        <v>128</v>
      </c>
      <c r="D13" s="38"/>
      <c r="E13" s="20" t="s">
        <v>35</v>
      </c>
      <c r="F13" s="17"/>
      <c r="G13" s="17">
        <v>500000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37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NICOLAS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32</v>
      </c>
      <c r="G30" s="34"/>
      <c r="H30" s="34"/>
    </row>
  </sheetData>
  <mergeCells count="16">
    <mergeCell ref="A1:H1"/>
    <mergeCell ref="A9:A10"/>
    <mergeCell ref="B9:B10"/>
    <mergeCell ref="C9:D10"/>
    <mergeCell ref="E9:E10"/>
    <mergeCell ref="F9:F10"/>
    <mergeCell ref="G9:G10"/>
    <mergeCell ref="H9:H10"/>
    <mergeCell ref="F24:H24"/>
    <mergeCell ref="F30:H30"/>
    <mergeCell ref="C11:D11"/>
    <mergeCell ref="C12:D12"/>
    <mergeCell ref="C13:D13"/>
    <mergeCell ref="F15:H15"/>
    <mergeCell ref="F16:H16"/>
    <mergeCell ref="F22:H22"/>
  </mergeCell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8B89-C12F-4081-B5A8-EB73A932E47B}">
  <dimension ref="A1:I30"/>
  <sheetViews>
    <sheetView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39" t="s">
        <v>26</v>
      </c>
      <c r="B1" s="39"/>
      <c r="C1" s="39"/>
      <c r="D1" s="39"/>
      <c r="E1" s="39"/>
      <c r="F1" s="39"/>
      <c r="G1" s="39"/>
      <c r="H1" s="39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27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/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47</v>
      </c>
      <c r="B6" s="6"/>
      <c r="C6" s="11">
        <v>250244</v>
      </c>
      <c r="D6" s="5"/>
      <c r="E6" s="8"/>
      <c r="F6" s="4"/>
      <c r="G6" s="4"/>
      <c r="H6" s="9"/>
    </row>
    <row r="7" spans="1:9" ht="21" x14ac:dyDescent="0.35">
      <c r="A7" s="6" t="s">
        <v>5</v>
      </c>
      <c r="B7" s="6"/>
      <c r="C7" s="12" t="s">
        <v>51</v>
      </c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46202</v>
      </c>
      <c r="C11" s="35" t="s">
        <v>19</v>
      </c>
      <c r="D11" s="36"/>
      <c r="E11" s="16" t="s">
        <v>23</v>
      </c>
      <c r="F11" s="17" t="s">
        <v>22</v>
      </c>
      <c r="G11" s="17">
        <v>200000</v>
      </c>
      <c r="H11" s="18" t="s">
        <v>25</v>
      </c>
    </row>
    <row r="12" spans="1:9" ht="18.5" x14ac:dyDescent="0.35">
      <c r="A12" s="14">
        <v>2</v>
      </c>
      <c r="B12" s="15">
        <v>46269</v>
      </c>
      <c r="C12" s="37" t="s">
        <v>19</v>
      </c>
      <c r="D12" s="38"/>
      <c r="E12" s="19" t="s">
        <v>23</v>
      </c>
      <c r="F12" s="17" t="s">
        <v>22</v>
      </c>
      <c r="G12" s="17">
        <v>200000</v>
      </c>
      <c r="H12" s="18"/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200000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>M FAIZAL APRIANUR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14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17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2153-2022-40B0-A182-7E453FEFDD9B}">
  <dimension ref="A1:I30"/>
  <sheetViews>
    <sheetView tabSelected="1" zoomScale="74" workbookViewId="0">
      <selection sqref="A1:H1"/>
    </sheetView>
  </sheetViews>
  <sheetFormatPr defaultRowHeight="14.5" x14ac:dyDescent="0.35"/>
  <cols>
    <col min="1" max="1" width="19.6328125" customWidth="1"/>
    <col min="2" max="2" width="13" customWidth="1"/>
    <col min="3" max="3" width="23.81640625" customWidth="1"/>
    <col min="4" max="4" width="19.26953125" customWidth="1"/>
    <col min="5" max="5" width="15.26953125" customWidth="1"/>
    <col min="6" max="6" width="16.08984375" customWidth="1"/>
    <col min="7" max="7" width="23.7265625" customWidth="1"/>
    <col min="8" max="8" width="39.1796875" customWidth="1"/>
    <col min="9" max="9" width="10.453125" customWidth="1"/>
  </cols>
  <sheetData>
    <row r="1" spans="1:9" ht="28.5" x14ac:dyDescent="0.35">
      <c r="A1" s="42" t="s">
        <v>26</v>
      </c>
      <c r="B1" s="42"/>
      <c r="C1" s="42"/>
      <c r="D1" s="42"/>
      <c r="E1" s="42"/>
      <c r="F1" s="42"/>
      <c r="G1" s="42"/>
      <c r="H1" s="42"/>
    </row>
    <row r="2" spans="1:9" x14ac:dyDescent="0.35">
      <c r="A2" s="1"/>
      <c r="B2" s="1"/>
      <c r="C2" s="1"/>
      <c r="D2" s="2"/>
      <c r="E2" s="3"/>
      <c r="F2" s="4"/>
      <c r="G2" s="4"/>
      <c r="H2" s="5"/>
    </row>
    <row r="3" spans="1:9" ht="21" x14ac:dyDescent="0.35">
      <c r="A3" s="6" t="s">
        <v>0</v>
      </c>
      <c r="B3" s="6"/>
      <c r="C3" s="7" t="s">
        <v>28</v>
      </c>
      <c r="D3" s="5"/>
      <c r="E3" s="8"/>
      <c r="F3" s="4"/>
      <c r="G3" s="4"/>
      <c r="H3" s="9"/>
    </row>
    <row r="4" spans="1:9" ht="21" x14ac:dyDescent="0.35">
      <c r="A4" s="6" t="s">
        <v>1</v>
      </c>
      <c r="B4" s="6"/>
      <c r="C4" s="10"/>
      <c r="D4" s="5"/>
      <c r="E4" s="8"/>
      <c r="F4" s="4"/>
      <c r="G4" s="4"/>
      <c r="H4" s="9"/>
    </row>
    <row r="5" spans="1:9" ht="21" x14ac:dyDescent="0.35">
      <c r="A5" s="6" t="s">
        <v>2</v>
      </c>
      <c r="B5" s="6"/>
      <c r="C5" s="7" t="s">
        <v>3</v>
      </c>
      <c r="D5" s="5"/>
      <c r="E5" s="8"/>
      <c r="F5" s="4"/>
      <c r="G5" s="4"/>
      <c r="H5" s="9"/>
      <c r="I5" t="s">
        <v>18</v>
      </c>
    </row>
    <row r="6" spans="1:9" ht="21" x14ac:dyDescent="0.35">
      <c r="A6" s="6" t="s">
        <v>4</v>
      </c>
      <c r="B6" s="6"/>
      <c r="C6" s="11"/>
      <c r="D6" s="5"/>
      <c r="E6" s="8"/>
      <c r="F6" s="4"/>
      <c r="G6" s="4"/>
      <c r="H6" s="9"/>
    </row>
    <row r="7" spans="1:9" ht="21" x14ac:dyDescent="0.35">
      <c r="A7" s="6" t="s">
        <v>5</v>
      </c>
      <c r="B7" s="6"/>
      <c r="C7" s="12"/>
      <c r="D7" s="7"/>
      <c r="E7" s="13"/>
      <c r="F7" s="4"/>
      <c r="G7" s="4"/>
      <c r="H7" s="9"/>
    </row>
    <row r="8" spans="1:9" x14ac:dyDescent="0.35">
      <c r="A8" s="1"/>
      <c r="B8" s="1"/>
      <c r="C8" s="1"/>
      <c r="D8" s="2" t="s">
        <v>6</v>
      </c>
      <c r="E8" s="3"/>
      <c r="F8" s="4"/>
      <c r="G8" s="4"/>
      <c r="H8" s="5"/>
    </row>
    <row r="9" spans="1:9" x14ac:dyDescent="0.35">
      <c r="A9" s="27" t="s">
        <v>7</v>
      </c>
      <c r="B9" s="27" t="s">
        <v>8</v>
      </c>
      <c r="C9" s="28" t="s">
        <v>9</v>
      </c>
      <c r="D9" s="29"/>
      <c r="E9" s="32" t="s">
        <v>20</v>
      </c>
      <c r="F9" s="33" t="s">
        <v>21</v>
      </c>
      <c r="G9" s="33" t="s">
        <v>24</v>
      </c>
      <c r="H9" s="27" t="s">
        <v>10</v>
      </c>
    </row>
    <row r="10" spans="1:9" x14ac:dyDescent="0.35">
      <c r="A10" s="27"/>
      <c r="B10" s="27"/>
      <c r="C10" s="30"/>
      <c r="D10" s="31"/>
      <c r="E10" s="32"/>
      <c r="F10" s="33"/>
      <c r="G10" s="33"/>
      <c r="H10" s="27"/>
    </row>
    <row r="11" spans="1:9" ht="18.5" x14ac:dyDescent="0.35">
      <c r="A11" s="14">
        <v>1</v>
      </c>
      <c r="B11" s="15">
        <v>46202</v>
      </c>
      <c r="C11" s="35" t="s">
        <v>29</v>
      </c>
      <c r="D11" s="36"/>
      <c r="E11" s="16" t="s">
        <v>30</v>
      </c>
      <c r="F11" s="17"/>
      <c r="G11" s="17"/>
      <c r="H11" s="18" t="s">
        <v>45</v>
      </c>
    </row>
    <row r="12" spans="1:9" ht="18.5" x14ac:dyDescent="0.35">
      <c r="A12" s="14">
        <v>2</v>
      </c>
      <c r="B12" s="15">
        <v>46285</v>
      </c>
      <c r="C12" s="37" t="s">
        <v>44</v>
      </c>
      <c r="D12" s="38"/>
      <c r="E12" s="19" t="s">
        <v>30</v>
      </c>
      <c r="F12" s="17"/>
      <c r="G12" s="17"/>
      <c r="H12" s="18" t="s">
        <v>25</v>
      </c>
    </row>
    <row r="13" spans="1:9" ht="18.5" x14ac:dyDescent="0.35">
      <c r="A13" s="14">
        <v>3</v>
      </c>
      <c r="B13" s="15"/>
      <c r="C13" s="35"/>
      <c r="D13" s="36"/>
      <c r="E13" s="20"/>
      <c r="F13" s="17"/>
      <c r="G13" s="17">
        <f>+G12+E13-F13</f>
        <v>0</v>
      </c>
      <c r="H13" s="18"/>
    </row>
    <row r="14" spans="1:9" x14ac:dyDescent="0.35">
      <c r="A14" s="1"/>
      <c r="B14" s="1"/>
      <c r="C14" s="1"/>
      <c r="D14" s="5"/>
      <c r="E14" s="8"/>
      <c r="F14" s="4"/>
      <c r="G14" s="4"/>
      <c r="H14" s="5"/>
    </row>
    <row r="15" spans="1:9" ht="18.5" x14ac:dyDescent="0.35">
      <c r="A15" s="1"/>
      <c r="B15" s="5"/>
      <c r="C15" s="1"/>
      <c r="D15" s="5"/>
      <c r="E15" s="8"/>
      <c r="F15" s="34" t="s">
        <v>11</v>
      </c>
      <c r="G15" s="34"/>
      <c r="H15" s="34"/>
    </row>
    <row r="16" spans="1:9" ht="18.5" x14ac:dyDescent="0.35">
      <c r="A16" s="1"/>
      <c r="B16" s="5"/>
      <c r="C16" s="1"/>
      <c r="D16" s="5"/>
      <c r="E16" s="8"/>
      <c r="F16" s="34" t="s">
        <v>12</v>
      </c>
      <c r="G16" s="34"/>
      <c r="H16" s="34"/>
    </row>
    <row r="17" spans="1:8" ht="18.5" x14ac:dyDescent="0.35">
      <c r="A17" s="1"/>
      <c r="B17" s="5"/>
      <c r="C17" s="1"/>
      <c r="D17" s="5"/>
      <c r="E17" s="8"/>
      <c r="F17" s="21"/>
      <c r="G17" s="21"/>
      <c r="H17" s="21"/>
    </row>
    <row r="18" spans="1:8" ht="18.5" x14ac:dyDescent="0.35">
      <c r="A18" s="1"/>
      <c r="B18" s="5"/>
      <c r="C18" s="1"/>
      <c r="D18" s="5"/>
      <c r="E18" s="8"/>
      <c r="F18" s="21"/>
      <c r="G18" s="21"/>
      <c r="H18" s="21"/>
    </row>
    <row r="19" spans="1:8" ht="18.5" x14ac:dyDescent="0.35">
      <c r="A19" s="1"/>
      <c r="B19" s="5"/>
      <c r="C19" s="1"/>
      <c r="D19" s="5"/>
      <c r="E19" s="8"/>
      <c r="F19" s="21"/>
      <c r="G19" s="21"/>
      <c r="H19" s="21"/>
    </row>
    <row r="20" spans="1:8" ht="18.5" x14ac:dyDescent="0.35">
      <c r="A20" s="1"/>
      <c r="B20" s="5"/>
      <c r="C20" s="1"/>
      <c r="D20" s="5"/>
      <c r="E20" s="8"/>
      <c r="F20" s="21"/>
      <c r="G20" s="21"/>
      <c r="H20" s="21"/>
    </row>
    <row r="21" spans="1:8" ht="18.5" x14ac:dyDescent="0.35">
      <c r="A21" s="1"/>
      <c r="B21" s="5"/>
      <c r="C21" s="1"/>
      <c r="D21" s="5"/>
      <c r="E21" s="8"/>
      <c r="F21" s="21"/>
      <c r="G21" s="21"/>
      <c r="H21" s="21"/>
    </row>
    <row r="22" spans="1:8" ht="18.5" x14ac:dyDescent="0.35">
      <c r="A22" s="1"/>
      <c r="B22" s="5"/>
      <c r="C22" s="1"/>
      <c r="D22" s="5"/>
      <c r="E22" s="8"/>
      <c r="F22" s="34" t="str">
        <f>C3</f>
        <v xml:space="preserve">NUROHIM </v>
      </c>
      <c r="G22" s="34"/>
      <c r="H22" s="34"/>
    </row>
    <row r="23" spans="1:8" ht="18.5" x14ac:dyDescent="0.35">
      <c r="A23" s="1"/>
      <c r="B23" s="5"/>
      <c r="C23" s="1"/>
      <c r="D23" s="5"/>
      <c r="E23" s="8"/>
      <c r="F23" s="21"/>
      <c r="G23" s="21"/>
      <c r="H23" s="21"/>
    </row>
    <row r="24" spans="1:8" ht="18.5" x14ac:dyDescent="0.35">
      <c r="A24" s="22"/>
      <c r="B24" s="22" t="s">
        <v>13</v>
      </c>
      <c r="C24" s="22"/>
      <c r="D24" s="23"/>
      <c r="E24" s="24"/>
      <c r="F24" s="34" t="s">
        <v>31</v>
      </c>
      <c r="G24" s="34"/>
      <c r="H24" s="34"/>
    </row>
    <row r="25" spans="1:8" ht="18.5" x14ac:dyDescent="0.35">
      <c r="A25" s="22"/>
      <c r="B25" s="22"/>
      <c r="C25" s="22"/>
      <c r="D25" s="23" t="s">
        <v>15</v>
      </c>
      <c r="E25" s="24"/>
      <c r="F25" s="25"/>
      <c r="G25" s="25"/>
      <c r="H25" s="23"/>
    </row>
    <row r="26" spans="1:8" ht="18.5" x14ac:dyDescent="0.35">
      <c r="A26" s="22"/>
      <c r="B26" s="22"/>
      <c r="C26" s="22"/>
      <c r="D26" s="23"/>
      <c r="E26" s="24"/>
      <c r="F26" s="25"/>
      <c r="G26" s="25"/>
      <c r="H26" s="23"/>
    </row>
    <row r="27" spans="1:8" ht="18.5" x14ac:dyDescent="0.35">
      <c r="A27" s="22"/>
      <c r="B27" s="22"/>
      <c r="C27" s="22"/>
      <c r="D27" s="23"/>
      <c r="E27" s="24"/>
      <c r="F27" s="25"/>
      <c r="G27" s="25"/>
      <c r="H27" s="23"/>
    </row>
    <row r="28" spans="1:8" ht="18.5" x14ac:dyDescent="0.35">
      <c r="A28" s="22"/>
      <c r="B28" s="23"/>
      <c r="C28" s="22"/>
      <c r="D28" s="23"/>
      <c r="E28" s="24"/>
      <c r="F28" s="25"/>
      <c r="G28" s="25"/>
      <c r="H28" s="23"/>
    </row>
    <row r="29" spans="1:8" ht="18.5" x14ac:dyDescent="0.35">
      <c r="A29" s="22"/>
      <c r="B29" s="22"/>
      <c r="C29" s="22"/>
      <c r="D29" s="23"/>
      <c r="E29" s="24"/>
      <c r="F29" s="25"/>
      <c r="G29" s="25"/>
      <c r="H29" s="23"/>
    </row>
    <row r="30" spans="1:8" ht="18.5" x14ac:dyDescent="0.35">
      <c r="A30" s="22"/>
      <c r="B30" s="22" t="s">
        <v>16</v>
      </c>
      <c r="C30" s="22"/>
      <c r="D30" s="23"/>
      <c r="E30" s="24"/>
      <c r="F30" s="34" t="s">
        <v>32</v>
      </c>
      <c r="G30" s="34"/>
      <c r="H30" s="34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SAMUJI </vt:lpstr>
      <vt:lpstr>INDRA PINAYUNGAN </vt:lpstr>
      <vt:lpstr>MARRISA </vt:lpstr>
      <vt:lpstr>SUHERMAN </vt:lpstr>
      <vt:lpstr>MAMAN </vt:lpstr>
      <vt:lpstr>ARGENT </vt:lpstr>
      <vt:lpstr>JONEMSOM G </vt:lpstr>
      <vt:lpstr>ABDUL ROHMAN </vt:lpstr>
      <vt:lpstr>FIKRI RAMADAN </vt:lpstr>
      <vt:lpstr>KUSNADI </vt:lpstr>
      <vt:lpstr>DEDE ERICK </vt:lpstr>
      <vt:lpstr>gumilar aziz c</vt:lpstr>
      <vt:lpstr>GUGUN JUANDA </vt:lpstr>
      <vt:lpstr>MUFLIH </vt:lpstr>
      <vt:lpstr>NOFRIAL </vt:lpstr>
      <vt:lpstr>M SANGIDUL </vt:lpstr>
      <vt:lpstr>FIRMAN HARI </vt:lpstr>
      <vt:lpstr>AGUS SUKMANA</vt:lpstr>
      <vt:lpstr>LOMO </vt:lpstr>
      <vt:lpstr>NURCAHYO </vt:lpstr>
      <vt:lpstr>ISHAK OMA </vt:lpstr>
      <vt:lpstr>RODOFF HERBET</vt:lpstr>
      <vt:lpstr>ADE TISNA </vt:lpstr>
      <vt:lpstr>JOKO SANTOSO </vt:lpstr>
      <vt:lpstr>ZEVA WILIAN </vt:lpstr>
      <vt:lpstr>AHMAD GUSTOMI </vt:lpstr>
      <vt:lpstr>ANANG M </vt:lpstr>
      <vt:lpstr>AGUS WANDI </vt:lpstr>
      <vt:lpstr>SONY BIN SAKAM </vt:lpstr>
      <vt:lpstr>GILANG RENGGA S </vt:lpstr>
      <vt:lpstr>RUDIYANTO</vt:lpstr>
      <vt:lpstr>BAYU NUGROHO </vt:lpstr>
      <vt:lpstr>HAFID T </vt:lpstr>
      <vt:lpstr>SOBUR </vt:lpstr>
      <vt:lpstr>RALIM </vt:lpstr>
      <vt:lpstr>A SUTRIADI </vt:lpstr>
      <vt:lpstr>RONI P </vt:lpstr>
      <vt:lpstr>PARLINDUNGAN </vt:lpstr>
      <vt:lpstr>DEFI ANDRI </vt:lpstr>
      <vt:lpstr>MOCH JENI </vt:lpstr>
      <vt:lpstr>MASHURI</vt:lpstr>
      <vt:lpstr>LUTFI</vt:lpstr>
      <vt:lpstr>nicolas </vt:lpstr>
      <vt:lpstr>M FAIZAL A </vt:lpstr>
      <vt:lpstr>NUROHIM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dcterms:created xsi:type="dcterms:W3CDTF">2026-10-01T06:03:21Z</dcterms:created>
  <dcterms:modified xsi:type="dcterms:W3CDTF">2026-10-14T12:06:46Z</dcterms:modified>
</cp:coreProperties>
</file>