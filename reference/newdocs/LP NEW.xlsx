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AN\Desktop\"/>
    </mc:Choice>
  </mc:AlternateContent>
  <xr:revisionPtr revIDLastSave="0" documentId="13_ncr:1_{61227B25-E5FB-4AFD-8236-01DCEA57566C}" xr6:coauthVersionLast="47" xr6:coauthVersionMax="47" xr10:uidLastSave="{00000000-0000-0000-0000-000000000000}"/>
  <bookViews>
    <workbookView xWindow="-110" yWindow="-110" windowWidth="19420" windowHeight="10300" activeTab="1" xr2:uid="{E974F32E-AFA6-4E02-818E-8FD2997EAF9A}"/>
  </bookViews>
  <sheets>
    <sheet name="LP SEPTEMBER " sheetId="1" r:id="rId1"/>
    <sheet name="LP OKTOBER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P8" i="2"/>
  <c r="D26" i="2"/>
  <c r="F26" i="2"/>
  <c r="D28" i="1"/>
  <c r="D26" i="1"/>
  <c r="E25" i="1"/>
  <c r="D25" i="1"/>
</calcChain>
</file>

<file path=xl/sharedStrings.xml><?xml version="1.0" encoding="utf-8"?>
<sst xmlns="http://schemas.openxmlformats.org/spreadsheetml/2006/main" count="137" uniqueCount="85">
  <si>
    <t xml:space="preserve">NO </t>
  </si>
  <si>
    <t xml:space="preserve">JENIS PENGELUARAN </t>
  </si>
  <si>
    <t>TANGGAL</t>
  </si>
  <si>
    <t xml:space="preserve">NOMINAL MASUK </t>
  </si>
  <si>
    <t xml:space="preserve">NOMINAL KELUAR </t>
  </si>
  <si>
    <t xml:space="preserve">KETERANGAN </t>
  </si>
  <si>
    <t xml:space="preserve">SETATUS </t>
  </si>
  <si>
    <t xml:space="preserve">PEMASUKAN IURAN </t>
  </si>
  <si>
    <t>30 AGSTUS 2026</t>
  </si>
  <si>
    <t xml:space="preserve">PENDAPATAN DLL </t>
  </si>
  <si>
    <t xml:space="preserve">pa firman hari penggantian laka </t>
  </si>
  <si>
    <t xml:space="preserve">BANTUAN LAKA </t>
  </si>
  <si>
    <t xml:space="preserve">DANA TALANG </t>
  </si>
  <si>
    <t>LAKA BAYU 260 SEREMPET MTR</t>
  </si>
  <si>
    <t xml:space="preserve">HUTANG </t>
  </si>
  <si>
    <t xml:space="preserve">M HASAN 270 LAKA  ASURANSI </t>
  </si>
  <si>
    <t xml:space="preserve">INSENTIF </t>
  </si>
  <si>
    <t xml:space="preserve">STORING KACA SPION PECAH </t>
  </si>
  <si>
    <t xml:space="preserve">BELAJA UMUM </t>
  </si>
  <si>
    <t xml:space="preserve">MAKAN KOPI ROKO TEKNIK UDAN 242 </t>
  </si>
  <si>
    <t>pa sobur pengantian laka 242</t>
  </si>
  <si>
    <t xml:space="preserve">BELANJA TEKNIK </t>
  </si>
  <si>
    <t xml:space="preserve">CCTV 2PCS </t>
  </si>
  <si>
    <t xml:space="preserve">STICER DAN SKOTLET BIRU </t>
  </si>
  <si>
    <t xml:space="preserve">CAT TINER PERNIS DAN DEMPUL </t>
  </si>
  <si>
    <t xml:space="preserve">BANTUAN SOSIAL </t>
  </si>
  <si>
    <t xml:space="preserve">EFENDI SAKIT JATUK LAKA BERANGKAT KRJA </t>
  </si>
  <si>
    <t xml:space="preserve">JHONEMSON SAKIT OPRERASI TANGGAN </t>
  </si>
  <si>
    <t xml:space="preserve">LAKA ZEPA N </t>
  </si>
  <si>
    <t xml:space="preserve">CCTV COVER DP 8 PCS </t>
  </si>
  <si>
    <t xml:space="preserve">LAKA 6H SEREMPET TRUK </t>
  </si>
  <si>
    <t xml:space="preserve">MUFLIH SAKIT DI RAWAT </t>
  </si>
  <si>
    <t xml:space="preserve">KORDINASI </t>
  </si>
  <si>
    <t xml:space="preserve">KOPI RAPAT PAGUYUBAN DENGAN KLI </t>
  </si>
  <si>
    <t xml:space="preserve">LAKA HAFID M TABRAK GERBANG TOL </t>
  </si>
  <si>
    <t xml:space="preserve">HUTANG AKUMULASI BANTUAN </t>
  </si>
  <si>
    <t xml:space="preserve">CCTV COPER KE 2 </t>
  </si>
  <si>
    <t xml:space="preserve">SAKIT POSISI KERJA DI BAWA RS </t>
  </si>
  <si>
    <t xml:space="preserve">HUTANG TETAP </t>
  </si>
  <si>
    <t xml:space="preserve">TOTAL AHIR </t>
  </si>
  <si>
    <t xml:space="preserve">SALDO AHIR KAS PAGUYUBAN </t>
  </si>
  <si>
    <t xml:space="preserve">MENGETAHUI </t>
  </si>
  <si>
    <t xml:space="preserve">KETUA PAGUYUBAN </t>
  </si>
  <si>
    <t xml:space="preserve">PEMBUAT LAPORAN </t>
  </si>
  <si>
    <t xml:space="preserve">BENDAHARA PAGUYUBAN </t>
  </si>
  <si>
    <t xml:space="preserve">ABDUL KHOLIK </t>
  </si>
  <si>
    <t xml:space="preserve">AFRIZAL PIRMANSYAH S,M </t>
  </si>
  <si>
    <t xml:space="preserve">PAGUYUBAN EV 50  CAWANG SEPTEMBER 2026 </t>
  </si>
  <si>
    <t xml:space="preserve">PAGUYUBAN EV 50  CAWANG OKTOBER  2026 </t>
  </si>
  <si>
    <t xml:space="preserve">BANTUAN </t>
  </si>
  <si>
    <t xml:space="preserve">SANTUNAN ORANG TUA MENINGAL M JENI </t>
  </si>
  <si>
    <t xml:space="preserve">SANTUNAN ORANG TUA MENINGAL LUKMAN HAKIM </t>
  </si>
  <si>
    <t xml:space="preserve">COVER CCTV DAN LAMPU SAMPING </t>
  </si>
  <si>
    <t xml:space="preserve">BELANJA UMUM </t>
  </si>
  <si>
    <t xml:space="preserve">UPAH TEKNIK </t>
  </si>
  <si>
    <t xml:space="preserve">KACA SPION 4 PCS+ONGKOS DAN STORING </t>
  </si>
  <si>
    <t xml:space="preserve">RESIN DAN SERABUT FIBER </t>
  </si>
  <si>
    <t xml:space="preserve">PAYROLL TEKNIK </t>
  </si>
  <si>
    <t>07OKTOBER 2026</t>
  </si>
  <si>
    <t xml:space="preserve">PAK BENI SW SAKIT RWAT INAP </t>
  </si>
  <si>
    <t xml:space="preserve">SISA SALDO BL SEP </t>
  </si>
  <si>
    <t xml:space="preserve">IURAN MASUK </t>
  </si>
  <si>
    <t>DANA TALANG</t>
  </si>
  <si>
    <t xml:space="preserve">BPK AGUS LANGSIR LAKA DI POOL SAAT MEMBANTU PETUGAS LANGSIR  </t>
  </si>
  <si>
    <t xml:space="preserve">PENGEMBALIAN </t>
  </si>
  <si>
    <t>HUTANG</t>
  </si>
  <si>
    <t>04 OKTOBER 2026</t>
  </si>
  <si>
    <t>03 OKTOBER 2026</t>
  </si>
  <si>
    <t xml:space="preserve">PENEMBALIAN DANA BAYU W  </t>
  </si>
  <si>
    <t xml:space="preserve">PINJAM UNTUK MUNAS PKB </t>
  </si>
  <si>
    <t xml:space="preserve">JALUR K 7 D 6H </t>
  </si>
  <si>
    <t xml:space="preserve">PENANGUNG JAWWAN </t>
  </si>
  <si>
    <t>NO</t>
  </si>
  <si>
    <t xml:space="preserve">JENIS </t>
  </si>
  <si>
    <t xml:space="preserve">TALANGAN </t>
  </si>
  <si>
    <t xml:space="preserve">AFRIZAL PIRMANSYAH </t>
  </si>
  <si>
    <t xml:space="preserve">NOTE 1 </t>
  </si>
  <si>
    <t xml:space="preserve">REMBES BENSIN LAKA INDRA PINAYUNGAAN </t>
  </si>
  <si>
    <t xml:space="preserve">CICILAN KE 1 LUDHFI </t>
  </si>
  <si>
    <t xml:space="preserve">CICILAN KE 1 P AGUS </t>
  </si>
  <si>
    <t xml:space="preserve">ANTENSI </t>
  </si>
  <si>
    <t>09 OKTOBER 2026</t>
  </si>
  <si>
    <t>ROKO KOPI ES PERBAIKAN UNIT</t>
  </si>
  <si>
    <t>KELUAR</t>
  </si>
  <si>
    <t xml:space="preserve">TOTAL  PEMAKAIAN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</si>
</sst>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[$Rp-3809]* #,##0.00_-;\-[$Rp-3809]* #,##0.00_-;_-[$Rp-3809]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NumberFormat="1" applyFont="1"/>
    <xf numFmtId="164" fontId="0" fillId="4" borderId="0" xfId="0" applyNumberFormat="1" applyFill="1"/>
    <xf numFmtId="44" fontId="0" fillId="0" borderId="0" xfId="2" applyFont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p-3809]* #,##0.00_-;\-[$Rp-3809]* #,##0.00_-;_-[$Rp-3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2.png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9.xml"/><Relationship Id="rId3" Type="http://schemas.openxmlformats.org/officeDocument/2006/relationships/customXml" Target="../ink/ink6.xml"/><Relationship Id="rId7" Type="http://schemas.openxmlformats.org/officeDocument/2006/relationships/customXml" Target="../ink/ink8.xml"/><Relationship Id="rId2" Type="http://schemas.openxmlformats.org/officeDocument/2006/relationships/image" Target="../media/image1.png"/><Relationship Id="rId1" Type="http://schemas.openxmlformats.org/officeDocument/2006/relationships/customXml" Target="../ink/ink5.xml"/><Relationship Id="rId6" Type="http://schemas.openxmlformats.org/officeDocument/2006/relationships/image" Target="../media/image2.png"/><Relationship Id="rId10" Type="http://schemas.openxmlformats.org/officeDocument/2006/relationships/customXml" Target="../ink/ink11.xml"/><Relationship Id="rId4" Type="http://schemas.openxmlformats.org/officeDocument/2006/relationships/customXml" Target="../ink/ink7.xml"/><Relationship Id="rId9" Type="http://schemas.openxmlformats.org/officeDocument/2006/relationships/customXml" Target="../ink/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27799</xdr:colOff>
      <xdr:row>1</xdr:row>
      <xdr:rowOff>27731</xdr:rowOff>
    </xdr:from>
    <xdr:to>
      <xdr:col>3</xdr:col>
      <xdr:colOff>28159</xdr:colOff>
      <xdr:row>1</xdr:row>
      <xdr:rowOff>28091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68B1F53-E705-7C85-BAE9-88ABA2BEE081}"/>
                </a:ext>
              </a:extLst>
            </xdr14:cNvPr>
            <xdr14:cNvContentPartPr/>
          </xdr14:nvContentPartPr>
          <xdr14:nvPr macro=""/>
          <xdr14:xfrm>
            <a:off x="3481920" y="2091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68B1F53-E705-7C85-BAE9-88ABA2BEE0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463920" y="1915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355759</xdr:colOff>
      <xdr:row>8</xdr:row>
      <xdr:rowOff>153451</xdr:rowOff>
    </xdr:from>
    <xdr:to>
      <xdr:col>3</xdr:col>
      <xdr:colOff>356119</xdr:colOff>
      <xdr:row>8</xdr:row>
      <xdr:rowOff>153811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6A4C954-EE21-2DB1-5F25-DEB138B6DDF6}"/>
                </a:ext>
              </a:extLst>
            </xdr14:cNvPr>
            <xdr14:cNvContentPartPr/>
          </xdr14:nvContentPartPr>
          <xdr14:nvPr macro=""/>
          <xdr14:xfrm>
            <a:off x="3809880" y="1604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6A4C954-EE21-2DB1-5F25-DEB138B6DD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91880" y="15868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397578</xdr:colOff>
      <xdr:row>8</xdr:row>
      <xdr:rowOff>62731</xdr:rowOff>
    </xdr:from>
    <xdr:to>
      <xdr:col>7</xdr:col>
      <xdr:colOff>397938</xdr:colOff>
      <xdr:row>8</xdr:row>
      <xdr:rowOff>63091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A79713C-4963-1230-3EF8-6F665EFAFAA4}"/>
                </a:ext>
              </a:extLst>
            </xdr14:cNvPr>
            <xdr14:cNvContentPartPr/>
          </xdr14:nvContentPartPr>
          <xdr14:nvPr macro=""/>
          <xdr14:xfrm>
            <a:off x="11820600" y="151416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A79713C-4963-1230-3EF8-6F665EFAFA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802600" y="14961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1228021</xdr:colOff>
      <xdr:row>8</xdr:row>
      <xdr:rowOff>6931</xdr:rowOff>
    </xdr:from>
    <xdr:to>
      <xdr:col>6</xdr:col>
      <xdr:colOff>1235221</xdr:colOff>
      <xdr:row>8</xdr:row>
      <xdr:rowOff>35011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972FFB3-CD20-3075-3374-41647EF511FC}"/>
                </a:ext>
              </a:extLst>
            </xdr14:cNvPr>
            <xdr14:cNvContentPartPr/>
          </xdr14:nvContentPartPr>
          <xdr14:nvPr macro=""/>
          <xdr14:xfrm>
            <a:off x="10543680" y="1458360"/>
            <a:ext cx="7200" cy="28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972FFB3-CD20-3075-3374-41647EF511F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525680" y="1440588"/>
              <a:ext cx="42840" cy="6326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27799</xdr:colOff>
      <xdr:row>1</xdr:row>
      <xdr:rowOff>27731</xdr:rowOff>
    </xdr:from>
    <xdr:to>
      <xdr:col>3</xdr:col>
      <xdr:colOff>28159</xdr:colOff>
      <xdr:row>1</xdr:row>
      <xdr:rowOff>28091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AF21ACD-15A5-4B4C-B30D-E8B21D1E76F0}"/>
                </a:ext>
              </a:extLst>
            </xdr14:cNvPr>
            <xdr14:cNvContentPartPr/>
          </xdr14:nvContentPartPr>
          <xdr14:nvPr macro=""/>
          <xdr14:xfrm>
            <a:off x="3481920" y="2091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68B1F53-E705-7C85-BAE9-88ABA2BEE0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463920" y="1915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355759</xdr:colOff>
      <xdr:row>8</xdr:row>
      <xdr:rowOff>153451</xdr:rowOff>
    </xdr:from>
    <xdr:to>
      <xdr:col>3</xdr:col>
      <xdr:colOff>356119</xdr:colOff>
      <xdr:row>8</xdr:row>
      <xdr:rowOff>153811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9F498BA-18F8-4A69-B42D-CBF805D0F78E}"/>
                </a:ext>
              </a:extLst>
            </xdr14:cNvPr>
            <xdr14:cNvContentPartPr/>
          </xdr14:nvContentPartPr>
          <xdr14:nvPr macro=""/>
          <xdr14:xfrm>
            <a:off x="3809880" y="1604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6A4C954-EE21-2DB1-5F25-DEB138B6DD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91880" y="15868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1228021</xdr:colOff>
      <xdr:row>8</xdr:row>
      <xdr:rowOff>6931</xdr:rowOff>
    </xdr:from>
    <xdr:to>
      <xdr:col>6</xdr:col>
      <xdr:colOff>1235221</xdr:colOff>
      <xdr:row>8</xdr:row>
      <xdr:rowOff>35011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B9861A9-8D1B-4F0B-9926-5D9B43B9F95D}"/>
                </a:ext>
              </a:extLst>
            </xdr14:cNvPr>
            <xdr14:cNvContentPartPr/>
          </xdr14:nvContentPartPr>
          <xdr14:nvPr macro=""/>
          <xdr14:xfrm>
            <a:off x="10543680" y="1458360"/>
            <a:ext cx="7200" cy="28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972FFB3-CD20-3075-3374-41647EF511F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525680" y="1440588"/>
              <a:ext cx="42840" cy="63269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1228021</xdr:colOff>
      <xdr:row>9</xdr:row>
      <xdr:rowOff>6931</xdr:rowOff>
    </xdr:from>
    <xdr:ext cx="7200" cy="2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BE93D5C-A6C6-4190-B791-E0CD09F7EDE5}"/>
                </a:ext>
              </a:extLst>
            </xdr14:cNvPr>
            <xdr14:cNvContentPartPr/>
          </xdr14:nvContentPartPr>
          <xdr14:nvPr macro=""/>
          <xdr14:xfrm>
            <a:off x="10543680" y="1458360"/>
            <a:ext cx="7200" cy="28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972FFB3-CD20-3075-3374-41647EF511F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525680" y="1440588"/>
              <a:ext cx="42840" cy="63269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355759</xdr:colOff>
      <xdr:row>14</xdr:row>
      <xdr:rowOff>153451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347CEB0-E003-42D1-9ECC-80F4ECA08894}"/>
                </a:ext>
              </a:extLst>
            </xdr14:cNvPr>
            <xdr14:cNvContentPartPr/>
          </xdr14:nvContentPartPr>
          <xdr14:nvPr macro=""/>
          <xdr14:xfrm>
            <a:off x="3809880" y="1604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6A4C954-EE21-2DB1-5F25-DEB138B6DD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91880" y="15868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1228021</xdr:colOff>
      <xdr:row>14</xdr:row>
      <xdr:rowOff>6931</xdr:rowOff>
    </xdr:from>
    <xdr:ext cx="7200" cy="2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A6004DA-514F-4A3F-B398-33A00FA81767}"/>
                </a:ext>
              </a:extLst>
            </xdr14:cNvPr>
            <xdr14:cNvContentPartPr/>
          </xdr14:nvContentPartPr>
          <xdr14:nvPr macro=""/>
          <xdr14:xfrm>
            <a:off x="10543680" y="1458360"/>
            <a:ext cx="7200" cy="28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972FFB3-CD20-3075-3374-41647EF511F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525680" y="1440588"/>
              <a:ext cx="42840" cy="63269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1228021</xdr:colOff>
      <xdr:row>15</xdr:row>
      <xdr:rowOff>6931</xdr:rowOff>
    </xdr:from>
    <xdr:ext cx="7200" cy="2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BBCF23DA-69DD-45EB-AEE6-EF218EEE4D35}"/>
                </a:ext>
              </a:extLst>
            </xdr14:cNvPr>
            <xdr14:cNvContentPartPr/>
          </xdr14:nvContentPartPr>
          <xdr14:nvPr macro=""/>
          <xdr14:xfrm>
            <a:off x="10543680" y="1458360"/>
            <a:ext cx="7200" cy="28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972FFB3-CD20-3075-3374-41647EF511F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525680" y="1440588"/>
              <a:ext cx="42840" cy="63269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6:00:57.87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0 1 8192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6:00:59.0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0 0 8192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6:01:05.1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8192,'0'0'0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5T06:01:09.76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20 0 8192,'0'0'0</inkml:trace>
  <inkml:trace contextRef="#ctx0" brushRef="#br0" timeOffset="929.64">0 78 8192,'0'0'0</inkml:trace>
  <inkml:trace contextRef="#ctx0" brushRef="#br0" timeOffset="1150.83">0 78 8192,'0'0'0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14:48:54.9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0 1 8192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14:48:54.96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0 0 8192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7T14:48:54.97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20 0 8192,'0'0'0</inkml:trace>
  <inkml:trace contextRef="#ctx0" brushRef="#br0" timeOffset="1">0 78 8192,'0'0'0</inkml:trace>
  <inkml:trace contextRef="#ctx0" brushRef="#br0" timeOffset="2">0 78 8192,'0'0'0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06:25:13.6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20 0 8192,'0'0'0</inkml:trace>
  <inkml:trace contextRef="#ctx0" brushRef="#br0" timeOffset="1">0 78 8192,'0'0'0</inkml:trace>
  <inkml:trace contextRef="#ctx0" brushRef="#br0" timeOffset="2">0 78 8192,'0'0'0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13:27:19.55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0 0 8192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13:27:19.55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20 0 8192,'0'0'0</inkml:trace>
  <inkml:trace contextRef="#ctx0" brushRef="#br0" timeOffset="1">0 78 8192,'0'0'0</inkml:trace>
  <inkml:trace contextRef="#ctx0" brushRef="#br0" timeOffset="2">0 78 8192,'0'0'0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7T13:27:19.55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20 0 8192,'0'0'0</inkml:trace>
  <inkml:trace contextRef="#ctx0" brushRef="#br0" timeOffset="1">0 78 8192,'0'0'0</inkml:trace>
  <inkml:trace contextRef="#ctx0" brushRef="#br0" timeOffset="2">0 78 8192,'0'0'0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90153B-5E84-46D8-9E67-A3FD52771F0F}" name="Table1" displayName="Table1" ref="M2:Q9" totalsRowShown="0">
  <autoFilter ref="M2:Q9" xr:uid="{E690153B-5E84-46D8-9E67-A3FD52771F0F}"/>
  <tableColumns count="5">
    <tableColumn id="1" xr3:uid="{F30DF062-C396-4702-9A10-8268C1119D27}" name="JENIS "/>
    <tableColumn id="2" xr3:uid="{CEE127FF-7CAE-476F-BEFC-6664B713437A}" name="NO"/>
    <tableColumn id="3" xr3:uid="{9140769E-E42F-457F-A968-E75069CBA574}" name="PENANGUNG JAWWAN "/>
    <tableColumn id="4" xr3:uid="{B427A6DA-F161-49FA-8CCF-F33C71F296BB}" name="DANA TALANG " dataDxfId="0" dataCellStyle="Comma"/>
    <tableColumn id="5" xr3:uid="{683BEB86-C797-4067-825F-318185BE7A24}" name="KELU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F964-D02A-482B-AB1F-C99E951E60A8}">
  <dimension ref="A1:G35"/>
  <sheetViews>
    <sheetView topLeftCell="A6" zoomScale="75" workbookViewId="0">
      <selection activeCell="E14" sqref="E14"/>
    </sheetView>
  </sheetViews>
  <sheetFormatPr defaultRowHeight="14.5" x14ac:dyDescent="0.35"/>
  <cols>
    <col min="1" max="1" width="3.90625" customWidth="1"/>
    <col min="2" max="2" width="22.90625" customWidth="1"/>
    <col min="3" max="3" width="22.6328125" customWidth="1"/>
    <col min="4" max="4" width="23.6328125" customWidth="1"/>
    <col min="5" max="5" width="25.54296875" customWidth="1"/>
    <col min="6" max="6" width="34.6328125" customWidth="1"/>
    <col min="7" max="7" width="30.1796875" customWidth="1"/>
  </cols>
  <sheetData>
    <row r="1" spans="1:7" x14ac:dyDescent="0.35">
      <c r="A1" s="14" t="s">
        <v>47</v>
      </c>
      <c r="B1" s="14"/>
      <c r="C1" s="14"/>
      <c r="D1" s="14"/>
      <c r="E1" s="14"/>
      <c r="F1" s="14"/>
      <c r="G1" s="14"/>
    </row>
    <row r="2" spans="1:7" x14ac:dyDescent="0.35">
      <c r="A2" s="14"/>
      <c r="B2" s="14"/>
      <c r="C2" s="14"/>
      <c r="D2" s="14"/>
      <c r="E2" s="14"/>
      <c r="F2" s="14"/>
      <c r="G2" s="14"/>
    </row>
    <row r="3" spans="1:7" x14ac:dyDescent="0.35">
      <c r="A3" s="14"/>
      <c r="B3" s="14"/>
      <c r="C3" s="14"/>
      <c r="D3" s="14"/>
      <c r="E3" s="14"/>
      <c r="F3" s="14"/>
      <c r="G3" s="14"/>
    </row>
    <row r="4" spans="1:7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35">
      <c r="A5" s="2">
        <v>1</v>
      </c>
      <c r="B5" s="2" t="s">
        <v>7</v>
      </c>
      <c r="C5" s="2" t="s">
        <v>8</v>
      </c>
      <c r="D5" s="5">
        <v>10250000</v>
      </c>
      <c r="E5" s="5"/>
      <c r="F5" s="2"/>
      <c r="G5" s="2"/>
    </row>
    <row r="6" spans="1:7" x14ac:dyDescent="0.35">
      <c r="A6" s="2">
        <v>2</v>
      </c>
      <c r="B6" s="2" t="s">
        <v>9</v>
      </c>
      <c r="C6" s="3">
        <v>46267</v>
      </c>
      <c r="D6" s="5">
        <v>500000</v>
      </c>
      <c r="E6" s="5"/>
      <c r="F6" s="2" t="s">
        <v>20</v>
      </c>
      <c r="G6" s="2"/>
    </row>
    <row r="7" spans="1:7" x14ac:dyDescent="0.35">
      <c r="A7" s="2">
        <v>3</v>
      </c>
      <c r="B7" s="2" t="s">
        <v>9</v>
      </c>
      <c r="C7" s="3">
        <v>46267</v>
      </c>
      <c r="D7" s="5">
        <v>500000</v>
      </c>
      <c r="E7" s="5"/>
      <c r="F7" s="2" t="s">
        <v>10</v>
      </c>
      <c r="G7" s="2"/>
    </row>
    <row r="8" spans="1:7" x14ac:dyDescent="0.35">
      <c r="A8" s="2">
        <v>4</v>
      </c>
      <c r="B8" s="7" t="s">
        <v>12</v>
      </c>
      <c r="C8" s="3">
        <v>46266</v>
      </c>
      <c r="D8" s="5"/>
      <c r="E8" s="5">
        <v>300000</v>
      </c>
      <c r="F8" s="2" t="s">
        <v>13</v>
      </c>
      <c r="G8" s="2" t="s">
        <v>14</v>
      </c>
    </row>
    <row r="9" spans="1:7" x14ac:dyDescent="0.35">
      <c r="A9" s="2">
        <v>5</v>
      </c>
      <c r="B9" s="2" t="s">
        <v>11</v>
      </c>
      <c r="C9" s="3">
        <v>46269</v>
      </c>
      <c r="D9" s="5"/>
      <c r="E9" s="5">
        <v>500000</v>
      </c>
      <c r="F9" s="2" t="s">
        <v>15</v>
      </c>
      <c r="G9" s="2"/>
    </row>
    <row r="10" spans="1:7" x14ac:dyDescent="0.35">
      <c r="A10" s="2">
        <v>6</v>
      </c>
      <c r="B10" s="2" t="s">
        <v>16</v>
      </c>
      <c r="C10" s="3">
        <v>46269</v>
      </c>
      <c r="D10" s="5"/>
      <c r="E10" s="5">
        <v>151000</v>
      </c>
      <c r="F10" s="2" t="s">
        <v>17</v>
      </c>
      <c r="G10" s="2"/>
    </row>
    <row r="11" spans="1:7" x14ac:dyDescent="0.35">
      <c r="A11" s="2">
        <v>7</v>
      </c>
      <c r="B11" s="2" t="s">
        <v>18</v>
      </c>
      <c r="C11" s="3">
        <v>46269</v>
      </c>
      <c r="D11" s="5"/>
      <c r="E11" s="5">
        <v>200000</v>
      </c>
      <c r="F11" s="2" t="s">
        <v>19</v>
      </c>
      <c r="G11" s="2"/>
    </row>
    <row r="12" spans="1:7" x14ac:dyDescent="0.35">
      <c r="A12" s="2">
        <v>8</v>
      </c>
      <c r="B12" s="2" t="s">
        <v>21</v>
      </c>
      <c r="C12" s="3">
        <v>46270</v>
      </c>
      <c r="D12" s="5"/>
      <c r="E12" s="5">
        <v>602500</v>
      </c>
      <c r="F12" s="2" t="s">
        <v>22</v>
      </c>
      <c r="G12" s="2"/>
    </row>
    <row r="13" spans="1:7" x14ac:dyDescent="0.35">
      <c r="A13" s="2">
        <v>9</v>
      </c>
      <c r="B13" s="2" t="s">
        <v>21</v>
      </c>
      <c r="C13" s="3">
        <v>46270</v>
      </c>
      <c r="D13" s="5"/>
      <c r="E13" s="5">
        <v>91000</v>
      </c>
      <c r="F13" s="2" t="s">
        <v>23</v>
      </c>
      <c r="G13" s="2"/>
    </row>
    <row r="14" spans="1:7" x14ac:dyDescent="0.35">
      <c r="A14" s="2">
        <v>10</v>
      </c>
      <c r="B14" s="2" t="s">
        <v>21</v>
      </c>
      <c r="C14" s="3">
        <v>46271</v>
      </c>
      <c r="D14" s="5"/>
      <c r="E14" s="5">
        <v>965500</v>
      </c>
      <c r="F14" s="2" t="s">
        <v>24</v>
      </c>
      <c r="G14" s="2"/>
    </row>
    <row r="15" spans="1:7" x14ac:dyDescent="0.35">
      <c r="A15" s="2">
        <v>11</v>
      </c>
      <c r="B15" s="2" t="s">
        <v>25</v>
      </c>
      <c r="C15" s="3">
        <v>46273</v>
      </c>
      <c r="D15" s="5"/>
      <c r="E15" s="5">
        <v>302500</v>
      </c>
      <c r="F15" s="2" t="s">
        <v>26</v>
      </c>
      <c r="G15" s="2"/>
    </row>
    <row r="16" spans="1:7" x14ac:dyDescent="0.35">
      <c r="A16" s="2">
        <v>12</v>
      </c>
      <c r="B16" s="2" t="s">
        <v>25</v>
      </c>
      <c r="C16" s="3">
        <v>46273</v>
      </c>
      <c r="D16" s="5"/>
      <c r="E16" s="5">
        <v>300000</v>
      </c>
      <c r="F16" s="2" t="s">
        <v>27</v>
      </c>
      <c r="G16" s="2"/>
    </row>
    <row r="17" spans="1:7" x14ac:dyDescent="0.35">
      <c r="A17" s="2">
        <v>13</v>
      </c>
      <c r="B17" s="7" t="s">
        <v>12</v>
      </c>
      <c r="C17" s="3">
        <v>46276</v>
      </c>
      <c r="D17" s="5"/>
      <c r="E17" s="5">
        <v>300000</v>
      </c>
      <c r="F17" s="2" t="s">
        <v>28</v>
      </c>
      <c r="G17" s="2" t="s">
        <v>35</v>
      </c>
    </row>
    <row r="18" spans="1:7" x14ac:dyDescent="0.35">
      <c r="A18" s="2">
        <v>14</v>
      </c>
      <c r="B18" s="2" t="s">
        <v>21</v>
      </c>
      <c r="C18" s="3">
        <v>46276</v>
      </c>
      <c r="D18" s="5"/>
      <c r="E18" s="5">
        <v>500000</v>
      </c>
      <c r="F18" s="2" t="s">
        <v>29</v>
      </c>
      <c r="G18" s="2"/>
    </row>
    <row r="19" spans="1:7" x14ac:dyDescent="0.35">
      <c r="A19" s="2">
        <v>15</v>
      </c>
      <c r="B19" s="7" t="s">
        <v>12</v>
      </c>
      <c r="C19" s="3">
        <v>46280</v>
      </c>
      <c r="D19" s="5"/>
      <c r="E19" s="5">
        <v>200000</v>
      </c>
      <c r="F19" s="2" t="s">
        <v>30</v>
      </c>
      <c r="G19" s="2" t="s">
        <v>35</v>
      </c>
    </row>
    <row r="20" spans="1:7" x14ac:dyDescent="0.35">
      <c r="A20" s="2">
        <v>16</v>
      </c>
      <c r="B20" s="2" t="s">
        <v>25</v>
      </c>
      <c r="C20" s="4">
        <v>46281</v>
      </c>
      <c r="D20" s="5"/>
      <c r="E20" s="5">
        <v>300000</v>
      </c>
      <c r="F20" s="2" t="s">
        <v>31</v>
      </c>
      <c r="G20" s="2"/>
    </row>
    <row r="21" spans="1:7" x14ac:dyDescent="0.35">
      <c r="A21" s="2">
        <v>17</v>
      </c>
      <c r="B21" s="2" t="s">
        <v>32</v>
      </c>
      <c r="C21" s="3">
        <v>46284</v>
      </c>
      <c r="D21" s="5"/>
      <c r="E21" s="5">
        <v>50000</v>
      </c>
      <c r="F21" s="2" t="s">
        <v>33</v>
      </c>
      <c r="G21" s="2"/>
    </row>
    <row r="22" spans="1:7" x14ac:dyDescent="0.35">
      <c r="A22" s="2">
        <v>18</v>
      </c>
      <c r="B22" s="7" t="s">
        <v>12</v>
      </c>
      <c r="C22" s="3">
        <v>46266</v>
      </c>
      <c r="D22" s="5"/>
      <c r="E22" s="5">
        <v>1000000</v>
      </c>
      <c r="F22" s="2" t="s">
        <v>34</v>
      </c>
      <c r="G22" s="2" t="s">
        <v>35</v>
      </c>
    </row>
    <row r="23" spans="1:7" x14ac:dyDescent="0.35">
      <c r="A23" s="2">
        <v>19</v>
      </c>
      <c r="B23" s="2" t="s">
        <v>21</v>
      </c>
      <c r="C23" s="3">
        <v>46289</v>
      </c>
      <c r="D23" s="5"/>
      <c r="E23" s="5">
        <v>500000</v>
      </c>
      <c r="F23" s="2" t="s">
        <v>36</v>
      </c>
      <c r="G23" s="2"/>
    </row>
    <row r="24" spans="1:7" x14ac:dyDescent="0.35">
      <c r="A24" s="2">
        <v>20</v>
      </c>
      <c r="B24" s="7" t="s">
        <v>12</v>
      </c>
      <c r="C24" s="3">
        <v>46289</v>
      </c>
      <c r="D24" s="5"/>
      <c r="E24" s="5">
        <v>200000</v>
      </c>
      <c r="F24" s="2" t="s">
        <v>37</v>
      </c>
      <c r="G24" s="2" t="s">
        <v>38</v>
      </c>
    </row>
    <row r="25" spans="1:7" x14ac:dyDescent="0.35">
      <c r="A25" s="15" t="s">
        <v>39</v>
      </c>
      <c r="B25" s="15"/>
      <c r="C25" s="15"/>
      <c r="D25" s="6">
        <f>SUM(D5:D24)</f>
        <v>11250000</v>
      </c>
      <c r="E25" s="6">
        <f>SUM(E5:E24)</f>
        <v>6462500</v>
      </c>
    </row>
    <row r="26" spans="1:7" x14ac:dyDescent="0.35">
      <c r="A26" s="15" t="s">
        <v>40</v>
      </c>
      <c r="B26" s="15"/>
      <c r="C26" s="15"/>
      <c r="D26" s="6">
        <f>D25-E25</f>
        <v>4787500</v>
      </c>
    </row>
    <row r="27" spans="1:7" x14ac:dyDescent="0.35">
      <c r="A27" s="17" t="s">
        <v>54</v>
      </c>
      <c r="B27" s="17"/>
      <c r="C27" s="17"/>
      <c r="D27" s="11">
        <v>1250000</v>
      </c>
    </row>
    <row r="28" spans="1:7" x14ac:dyDescent="0.35">
      <c r="A28" s="18" t="s">
        <v>40</v>
      </c>
      <c r="B28" s="18"/>
      <c r="C28" s="18"/>
      <c r="D28" s="12">
        <f>D26-D27</f>
        <v>3537500</v>
      </c>
    </row>
    <row r="29" spans="1:7" x14ac:dyDescent="0.35">
      <c r="B29" t="s">
        <v>41</v>
      </c>
      <c r="F29" t="s">
        <v>43</v>
      </c>
    </row>
    <row r="30" spans="1:7" x14ac:dyDescent="0.35">
      <c r="B30" t="s">
        <v>42</v>
      </c>
      <c r="F30" t="s">
        <v>44</v>
      </c>
    </row>
    <row r="35" spans="2:6" x14ac:dyDescent="0.35">
      <c r="B35" t="s">
        <v>46</v>
      </c>
      <c r="F35" t="s">
        <v>45</v>
      </c>
    </row>
  </sheetData>
  <mergeCells count="5">
    <mergeCell ref="A25:C25"/>
    <mergeCell ref="A26:C26"/>
    <mergeCell ref="A1:G3"/>
    <mergeCell ref="A27:C27"/>
    <mergeCell ref="A28:C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C928-65CA-42A5-AFF1-A20D8FA59076}">
  <dimension ref="A1:Q35"/>
  <sheetViews>
    <sheetView tabSelected="1" topLeftCell="A13" zoomScale="87" workbookViewId="0">
      <selection activeCell="B23" sqref="B23"/>
    </sheetView>
  </sheetViews>
  <sheetFormatPr defaultRowHeight="14.5" x14ac:dyDescent="0.35"/>
  <cols>
    <col min="2" max="2" width="22.7265625" customWidth="1"/>
    <col min="3" max="3" width="20.453125" customWidth="1"/>
    <col min="4" max="4" width="17.81640625" customWidth="1"/>
    <col min="5" max="5" width="18.90625" customWidth="1"/>
    <col min="6" max="6" width="40.453125" customWidth="1"/>
    <col min="7" max="7" width="27.26953125" customWidth="1"/>
    <col min="13" max="13" width="10.36328125" customWidth="1"/>
    <col min="15" max="15" width="21.7265625" customWidth="1"/>
    <col min="16" max="16" width="15.453125" bestFit="1" customWidth="1"/>
    <col min="17" max="17" width="13.90625" bestFit="1" customWidth="1"/>
  </cols>
  <sheetData>
    <row r="1" spans="1:17" x14ac:dyDescent="0.35">
      <c r="A1" s="14" t="s">
        <v>48</v>
      </c>
      <c r="B1" s="14"/>
      <c r="C1" s="14"/>
      <c r="D1" s="14"/>
      <c r="E1" s="14"/>
      <c r="F1" s="14"/>
      <c r="G1" s="14"/>
      <c r="M1" t="s">
        <v>76</v>
      </c>
    </row>
    <row r="2" spans="1:17" x14ac:dyDescent="0.35">
      <c r="A2" s="14"/>
      <c r="B2" s="14"/>
      <c r="C2" s="14"/>
      <c r="D2" s="14"/>
      <c r="E2" s="14"/>
      <c r="F2" s="14"/>
      <c r="G2" s="14"/>
      <c r="M2" t="s">
        <v>73</v>
      </c>
      <c r="N2" t="s">
        <v>72</v>
      </c>
      <c r="O2" t="s">
        <v>71</v>
      </c>
      <c r="P2" t="s">
        <v>12</v>
      </c>
      <c r="Q2" t="s">
        <v>83</v>
      </c>
    </row>
    <row r="3" spans="1:17" x14ac:dyDescent="0.35">
      <c r="A3" s="14"/>
      <c r="B3" s="14"/>
      <c r="C3" s="14"/>
      <c r="D3" s="14"/>
      <c r="E3" s="14"/>
      <c r="F3" s="14"/>
      <c r="G3" s="14"/>
      <c r="M3" t="s">
        <v>74</v>
      </c>
      <c r="N3" s="2">
        <v>1</v>
      </c>
      <c r="O3" t="s">
        <v>75</v>
      </c>
      <c r="P3" s="11">
        <v>1500000</v>
      </c>
      <c r="Q3" s="11">
        <v>300000</v>
      </c>
    </row>
    <row r="4" spans="1:17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N4" s="2">
        <v>2</v>
      </c>
      <c r="P4" s="11">
        <v>300000</v>
      </c>
      <c r="Q4" s="13">
        <v>200000</v>
      </c>
    </row>
    <row r="5" spans="1:17" x14ac:dyDescent="0.35">
      <c r="A5" s="2">
        <v>1</v>
      </c>
      <c r="B5" s="2" t="s">
        <v>60</v>
      </c>
      <c r="C5" s="10"/>
      <c r="D5" s="11">
        <v>3537500</v>
      </c>
      <c r="E5" s="5"/>
      <c r="F5" s="2"/>
      <c r="G5" s="2"/>
      <c r="N5" s="2">
        <v>3</v>
      </c>
      <c r="P5" s="11">
        <v>1000000</v>
      </c>
    </row>
    <row r="6" spans="1:17" x14ac:dyDescent="0.35">
      <c r="A6" s="2">
        <v>2</v>
      </c>
      <c r="B6" s="2" t="s">
        <v>62</v>
      </c>
      <c r="C6" s="10"/>
      <c r="D6" s="5"/>
      <c r="E6" s="5">
        <v>1000000</v>
      </c>
      <c r="F6" s="2" t="s">
        <v>63</v>
      </c>
      <c r="G6" s="2" t="s">
        <v>12</v>
      </c>
      <c r="N6" s="2">
        <v>4</v>
      </c>
      <c r="P6" s="11">
        <v>1700000</v>
      </c>
    </row>
    <row r="7" spans="1:17" x14ac:dyDescent="0.35">
      <c r="A7" s="2">
        <v>3</v>
      </c>
      <c r="B7" s="2" t="s">
        <v>61</v>
      </c>
      <c r="C7" s="3"/>
      <c r="D7" s="5">
        <v>8800000</v>
      </c>
      <c r="E7" s="5"/>
      <c r="F7" s="2"/>
      <c r="G7" s="2"/>
      <c r="P7" s="11"/>
    </row>
    <row r="8" spans="1:17" x14ac:dyDescent="0.35">
      <c r="A8" s="2">
        <v>4</v>
      </c>
      <c r="B8" s="2" t="s">
        <v>64</v>
      </c>
      <c r="C8" s="3">
        <v>46291</v>
      </c>
      <c r="D8" s="5">
        <v>350000</v>
      </c>
      <c r="E8" s="5"/>
      <c r="F8" s="2" t="s">
        <v>78</v>
      </c>
      <c r="G8" s="2" t="s">
        <v>65</v>
      </c>
      <c r="P8" s="6">
        <f>SUM(P3:P7)</f>
        <v>4500000</v>
      </c>
    </row>
    <row r="9" spans="1:17" x14ac:dyDescent="0.35">
      <c r="A9" s="2">
        <v>5</v>
      </c>
      <c r="B9" s="2" t="s">
        <v>64</v>
      </c>
      <c r="C9" s="3"/>
      <c r="D9" s="5">
        <v>250000</v>
      </c>
      <c r="E9" s="5"/>
      <c r="F9" s="2" t="s">
        <v>79</v>
      </c>
      <c r="G9" s="2" t="s">
        <v>65</v>
      </c>
    </row>
    <row r="10" spans="1:17" x14ac:dyDescent="0.35">
      <c r="A10" s="2">
        <v>6</v>
      </c>
      <c r="B10" s="2"/>
      <c r="C10" s="3"/>
      <c r="D10" s="5"/>
      <c r="E10" s="5"/>
      <c r="F10" s="2"/>
      <c r="G10" s="2"/>
      <c r="M10" s="16" t="s">
        <v>84</v>
      </c>
      <c r="N10" s="16"/>
      <c r="O10" s="16"/>
    </row>
    <row r="11" spans="1:17" x14ac:dyDescent="0.35">
      <c r="A11" s="2">
        <v>7</v>
      </c>
      <c r="B11" s="2" t="s">
        <v>25</v>
      </c>
      <c r="C11" s="10">
        <v>46293</v>
      </c>
      <c r="D11" s="5"/>
      <c r="E11" s="5">
        <v>500000</v>
      </c>
      <c r="F11" s="2" t="s">
        <v>50</v>
      </c>
      <c r="G11" s="2" t="s">
        <v>49</v>
      </c>
    </row>
    <row r="12" spans="1:17" x14ac:dyDescent="0.35">
      <c r="A12" s="2">
        <v>8</v>
      </c>
      <c r="B12" s="2" t="s">
        <v>25</v>
      </c>
      <c r="C12" s="10">
        <v>46293</v>
      </c>
      <c r="D12" s="5"/>
      <c r="E12" s="5">
        <v>500000</v>
      </c>
      <c r="F12" s="2" t="s">
        <v>51</v>
      </c>
      <c r="G12" s="2" t="s">
        <v>49</v>
      </c>
    </row>
    <row r="13" spans="1:17" x14ac:dyDescent="0.35">
      <c r="A13" s="2">
        <v>9</v>
      </c>
      <c r="B13" s="2" t="s">
        <v>21</v>
      </c>
      <c r="C13" s="3">
        <v>46293</v>
      </c>
      <c r="D13" s="5"/>
      <c r="E13" s="5">
        <v>1299999</v>
      </c>
      <c r="F13" s="2" t="s">
        <v>52</v>
      </c>
      <c r="G13" s="2" t="s">
        <v>53</v>
      </c>
    </row>
    <row r="14" spans="1:17" x14ac:dyDescent="0.35">
      <c r="A14" s="2">
        <v>10</v>
      </c>
      <c r="B14" s="2" t="s">
        <v>21</v>
      </c>
      <c r="C14" s="3">
        <v>46295</v>
      </c>
      <c r="D14" s="5"/>
      <c r="E14" s="5">
        <v>1150000</v>
      </c>
      <c r="F14" s="2" t="s">
        <v>55</v>
      </c>
      <c r="G14" s="2" t="s">
        <v>53</v>
      </c>
    </row>
    <row r="15" spans="1:17" x14ac:dyDescent="0.35">
      <c r="A15" s="2">
        <v>11</v>
      </c>
      <c r="B15" s="2" t="s">
        <v>21</v>
      </c>
      <c r="C15" s="3">
        <v>46295</v>
      </c>
      <c r="D15" s="5"/>
      <c r="E15" s="5">
        <v>150000</v>
      </c>
      <c r="F15" s="2" t="s">
        <v>56</v>
      </c>
      <c r="G15" s="2" t="s">
        <v>53</v>
      </c>
    </row>
    <row r="16" spans="1:17" x14ac:dyDescent="0.35">
      <c r="A16" s="2">
        <v>12</v>
      </c>
      <c r="B16" s="2" t="s">
        <v>54</v>
      </c>
      <c r="C16" s="3">
        <v>46290</v>
      </c>
      <c r="D16" s="5"/>
      <c r="E16" s="5">
        <v>1250000</v>
      </c>
      <c r="F16" s="2" t="s">
        <v>57</v>
      </c>
      <c r="G16" s="2" t="s">
        <v>53</v>
      </c>
    </row>
    <row r="17" spans="1:7" x14ac:dyDescent="0.35">
      <c r="A17" s="2">
        <v>13</v>
      </c>
      <c r="B17" s="2" t="s">
        <v>25</v>
      </c>
      <c r="C17" s="3" t="s">
        <v>58</v>
      </c>
      <c r="D17" s="5"/>
      <c r="E17" s="5">
        <v>300000</v>
      </c>
      <c r="F17" s="2" t="s">
        <v>59</v>
      </c>
      <c r="G17" s="2" t="s">
        <v>49</v>
      </c>
    </row>
    <row r="18" spans="1:7" x14ac:dyDescent="0.35">
      <c r="A18" s="2">
        <v>14</v>
      </c>
      <c r="B18" s="2" t="s">
        <v>32</v>
      </c>
      <c r="C18" s="3" t="s">
        <v>66</v>
      </c>
      <c r="D18" s="5"/>
      <c r="E18" s="5">
        <v>100000</v>
      </c>
      <c r="F18" s="2" t="s">
        <v>77</v>
      </c>
      <c r="G18" s="2" t="s">
        <v>53</v>
      </c>
    </row>
    <row r="19" spans="1:7" x14ac:dyDescent="0.35">
      <c r="A19" s="2">
        <v>15</v>
      </c>
      <c r="B19" s="9" t="s">
        <v>62</v>
      </c>
      <c r="C19" s="3" t="s">
        <v>67</v>
      </c>
      <c r="D19" s="5"/>
      <c r="E19" s="5">
        <v>150000</v>
      </c>
      <c r="F19" s="2" t="s">
        <v>68</v>
      </c>
      <c r="G19" s="2" t="s">
        <v>14</v>
      </c>
    </row>
    <row r="20" spans="1:7" x14ac:dyDescent="0.35">
      <c r="A20" s="2">
        <v>16</v>
      </c>
      <c r="B20" s="2" t="s">
        <v>62</v>
      </c>
      <c r="C20" s="4" t="s">
        <v>67</v>
      </c>
      <c r="D20" s="5"/>
      <c r="E20" s="5">
        <v>1000000</v>
      </c>
      <c r="F20" s="2" t="s">
        <v>69</v>
      </c>
      <c r="G20" s="2" t="s">
        <v>14</v>
      </c>
    </row>
    <row r="21" spans="1:7" x14ac:dyDescent="0.35">
      <c r="A21" s="2">
        <v>17</v>
      </c>
      <c r="B21" s="2" t="s">
        <v>32</v>
      </c>
      <c r="C21" s="3">
        <v>46295</v>
      </c>
      <c r="D21" s="5"/>
      <c r="E21" s="5">
        <v>300000</v>
      </c>
      <c r="F21" s="2" t="s">
        <v>70</v>
      </c>
      <c r="G21" s="2" t="s">
        <v>53</v>
      </c>
    </row>
    <row r="22" spans="1:7" x14ac:dyDescent="0.35">
      <c r="A22" s="2">
        <v>18</v>
      </c>
      <c r="B22" s="9" t="s">
        <v>80</v>
      </c>
      <c r="C22" s="3" t="s">
        <v>81</v>
      </c>
      <c r="D22" s="5"/>
      <c r="E22" s="5">
        <v>200000</v>
      </c>
      <c r="F22" s="2" t="s">
        <v>82</v>
      </c>
      <c r="G22" s="2" t="s">
        <v>53</v>
      </c>
    </row>
    <row r="23" spans="1:7" x14ac:dyDescent="0.35">
      <c r="A23" s="2">
        <v>19</v>
      </c>
      <c r="B23" s="2"/>
      <c r="C23" s="3"/>
      <c r="D23" s="5"/>
      <c r="E23" s="5"/>
      <c r="F23" s="2"/>
      <c r="G23" s="2"/>
    </row>
    <row r="24" spans="1:7" x14ac:dyDescent="0.35">
      <c r="A24" s="2">
        <v>20</v>
      </c>
      <c r="B24" s="9"/>
      <c r="C24" s="3"/>
      <c r="D24" s="5"/>
      <c r="E24" s="5"/>
      <c r="F24" s="2"/>
      <c r="G24" s="2"/>
    </row>
    <row r="25" spans="1:7" x14ac:dyDescent="0.35">
      <c r="A25" s="15"/>
      <c r="B25" s="15"/>
      <c r="C25" s="15"/>
      <c r="D25" s="6"/>
      <c r="E25" s="6"/>
    </row>
    <row r="26" spans="1:7" x14ac:dyDescent="0.35">
      <c r="A26" s="15"/>
      <c r="B26" s="15"/>
      <c r="C26" s="15"/>
      <c r="D26" s="6">
        <f>SUM(D5:D25)</f>
        <v>12937500</v>
      </c>
      <c r="E26" s="6">
        <f>SUM(E6:E25)</f>
        <v>7899999</v>
      </c>
      <c r="F26" s="6">
        <f>D26-E26</f>
        <v>5037501</v>
      </c>
    </row>
    <row r="27" spans="1:7" x14ac:dyDescent="0.35">
      <c r="A27" s="8"/>
      <c r="B27" s="8"/>
    </row>
    <row r="29" spans="1:7" x14ac:dyDescent="0.35">
      <c r="B29" t="s">
        <v>41</v>
      </c>
    </row>
    <row r="30" spans="1:7" x14ac:dyDescent="0.35">
      <c r="B30" t="s">
        <v>42</v>
      </c>
      <c r="F30" t="s">
        <v>44</v>
      </c>
    </row>
    <row r="35" spans="2:6" x14ac:dyDescent="0.35">
      <c r="B35" t="s">
        <v>46</v>
      </c>
      <c r="F35" t="s">
        <v>45</v>
      </c>
    </row>
  </sheetData>
  <mergeCells count="4">
    <mergeCell ref="A1:G3"/>
    <mergeCell ref="A25:C25"/>
    <mergeCell ref="A26:C26"/>
    <mergeCell ref="M10:O1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 SEPTEMBER </vt:lpstr>
      <vt:lpstr>LP OKTOBER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2026-09-25T05:31:34Z</dcterms:created>
  <dcterms:modified xsi:type="dcterms:W3CDTF">2026-10-11T14:29:04Z</dcterms:modified>
</cp:coreProperties>
</file>